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_Methods" sheetId="1" state="visible" r:id="rId1"/>
    <sheet name="ZCTA_Correlations" sheetId="2" state="visible" r:id="rId2"/>
    <sheet name="Primary_Worked_Example" sheetId="3" state="visible" r:id="rId3"/>
    <sheet name="ZCTA_Data" sheetId="4" state="visible" r:id="rId4"/>
    <sheet name="ZCTA_Ranks" sheetId="5" state="visible" r:id="rId5"/>
    <sheet name="County_Provider_Access" sheetId="6" state="visible" r:id="rId6"/>
    <sheet name="County_Health_Burden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000"/>
    <numFmt numFmtId="165" formatCode="0.0"/>
    <numFmt numFmtId="166" formatCode="0.000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color rgb="001F4E78"/>
      <sz val="13"/>
    </font>
    <font>
      <i val="1"/>
      <color rgb="00555555"/>
      <sz val="9"/>
    </font>
    <font>
      <b val="1"/>
      <color rgb="001F4E78"/>
      <sz val="1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2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164" fontId="2" fillId="3" borderId="1" pivotButton="0" quotePrefix="0" xfId="0"/>
    <xf numFmtId="0" fontId="0" fillId="0" borderId="1" pivotButton="0" quotePrefix="0" xfId="0"/>
    <xf numFmtId="164" fontId="0" fillId="0" borderId="1" pivotButton="0" quotePrefix="0" xfId="0"/>
    <xf numFmtId="0" fontId="4" fillId="0" borderId="0" pivotButton="0" quotePrefix="0" xfId="0"/>
    <xf numFmtId="165" fontId="0" fillId="0" borderId="1" pivotButton="0" quotePrefix="0" xfId="0"/>
    <xf numFmtId="165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horizontal="left"/>
    </xf>
    <xf numFmtId="1" fontId="0" fillId="0" borderId="1" pivotButton="0" quotePrefix="0" xfId="0"/>
    <xf numFmtId="166" fontId="0" fillId="0" borderId="1" pivotButton="0" quotePrefix="0" xfId="0"/>
    <xf numFmtId="0" fontId="0" fillId="4" borderId="1" pivotButton="0" quotePrefix="0" xfId="0"/>
    <xf numFmtId="165" fontId="0" fillId="4" borderId="1" pivotButton="0" quotePrefix="0" xfId="0"/>
    <xf numFmtId="1" fontId="0" fillId="4" borderId="1" pivotButton="0" quotePrefix="0" xfId="0"/>
    <xf numFmtId="0" fontId="1" fillId="2" borderId="1" applyAlignment="1" pivotButton="0" quotePrefix="0" xfId="0">
      <alignment horizont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40" customWidth="1" min="1" max="1"/>
    <col width="104" customWidth="1" min="2" max="2"/>
  </cols>
  <sheetData>
    <row r="1">
      <c r="A1" s="1" t="inlineStr">
        <is>
          <t>Methods, formulas &amp; results - ZCTA and County analysis</t>
        </is>
      </c>
    </row>
    <row r="3">
      <c r="A3" s="2" t="inlineStr">
        <is>
          <t>How to read this workbook</t>
        </is>
      </c>
    </row>
    <row r="4">
      <c r="A4" s="3" t="inlineStr">
        <is>
          <t>Live formulas</t>
        </is>
      </c>
      <c r="B4" s="4" t="inlineStr">
        <is>
          <t>Result cells contain real Excel formulas - click any cell to see the calculation in the formula bar. A 'Python value (check)' column mirrors the same figure computed in Python so numbers are visible even before Excel recalculates.</t>
        </is>
      </c>
    </row>
    <row r="5">
      <c r="A5" s="3" t="inlineStr">
        <is>
          <t>Sheets</t>
        </is>
      </c>
      <c r="B5" s="4" t="inlineStr">
        <is>
          <t>ZCTA_Correlations (45 pairs) - Primary_Worked_Example (step-by-step) - ZCTA_Data (matched values) - ZCTA_Ranks (live RANK.AVG) - County_Provider_Access - County_Health_Burden.</t>
        </is>
      </c>
    </row>
    <row r="6">
      <c r="A6" s="2" t="inlineStr">
        <is>
          <t>Data sources</t>
        </is>
      </c>
    </row>
    <row r="7">
      <c r="A7" s="3" t="inlineStr">
        <is>
          <t>Primary exposure</t>
        </is>
      </c>
      <c r="B7" s="4" t="inlineStr">
        <is>
          <t>ACS 2024 5-year Data Profile, DP03_0128PE = % below poverty (column Pct_Below_Poverty).</t>
        </is>
      </c>
    </row>
    <row r="8">
      <c r="A8" s="3" t="inlineStr">
        <is>
          <t>Primary outcome</t>
        </is>
      </c>
      <c r="B8" s="4" t="inlineStr">
        <is>
          <t>CDC PLACES 2025 release (ZCTA), 'Diagnosed diabetes among adults', crude prevalence (column PLACES_Pct_Diabetes).</t>
        </is>
      </c>
    </row>
    <row r="9">
      <c r="A9" s="3" t="inlineStr">
        <is>
          <t>Secondary exposures</t>
        </is>
      </c>
      <c r="B9" s="4" t="inlineStr">
        <is>
          <t>ACS: median household income (DP03_0062E), uninsured % (DP03_0099PE), age 65+ % (DP05_0024PE), non-English spoken at home % (DP02_0114PE).</t>
        </is>
      </c>
    </row>
    <row r="10">
      <c r="A10" s="3" t="inlineStr">
        <is>
          <t>Secondary outcomes</t>
        </is>
      </c>
      <c r="B10" s="4" t="inlineStr">
        <is>
          <t>PLACES crude prevalence: obesity, fair/poor self-rated health, coronary heart disease, COPD, stroke, physical inactivity, frequent mental distress, current smoking.</t>
        </is>
      </c>
    </row>
    <row r="11">
      <c r="A11" s="3" t="inlineStr">
        <is>
          <t>County health burden</t>
        </is>
      </c>
      <c r="B11" s="4" t="inlineStr">
        <is>
          <t>County Health Rankings (CHR) 2025: fair/poor health %, adult obesity %, adult smoking %, uninsured %.</t>
        </is>
      </c>
    </row>
    <row r="12">
      <c r="A12" s="3" t="inlineStr">
        <is>
          <t>County provider supply</t>
        </is>
      </c>
      <c r="B12" s="4" t="inlineStr">
        <is>
          <t>AHRF 2024-2025: county population (pop_popn_est_24) and non-federal primary-care physicians excluding residents (phys_nf_prim_care_pc_exc_rsdt_23).</t>
        </is>
      </c>
    </row>
    <row r="13">
      <c r="A13" s="2" t="inlineStr">
        <is>
          <t>Matching &amp; cleaning</t>
        </is>
      </c>
    </row>
    <row r="14">
      <c r="A14" s="3" t="inlineStr">
        <is>
          <t>ZCTA match</t>
        </is>
      </c>
      <c r="B14" s="4" t="inlineStr">
        <is>
          <t>ACS and PLACES joined on the five-character ZCTA.</t>
        </is>
      </c>
    </row>
    <row r="15">
      <c r="A15" s="3" t="inlineStr">
        <is>
          <t>Unreliable data removed</t>
        </is>
      </c>
      <c r="B15" s="4" t="inlineStr">
        <is>
          <t>Census missing-value sentinels (any value &lt;= -111111111, e.g. -666666666) and PLACES nulls are set to NaN and the affected ZCTA is dropped from that pair entirely - no imputation.</t>
        </is>
      </c>
    </row>
    <row r="16">
      <c r="A16" s="3" t="inlineStr">
        <is>
          <t>Pairwise-complete n</t>
        </is>
      </c>
      <c r="B16" s="4" t="inlineStr">
        <is>
          <t>For each pair only ZCTAs valid for BOTH measures are kept; that count is reported as n (varies by pair). Excel CORREL ignores blank pairs, matching this.</t>
        </is>
      </c>
    </row>
    <row r="17">
      <c r="A17" s="2" t="inlineStr">
        <is>
          <t>Statistics - formulas</t>
        </is>
      </c>
    </row>
    <row r="18">
      <c r="A18" s="3" t="inlineStr">
        <is>
          <t>Spearman's rho</t>
        </is>
      </c>
      <c r="B18" s="4" t="inlineStr">
        <is>
          <t>Excel: =CORREL(rank(X), rank(Y))   |   Math: rho = Pearson correlation of the ranked values of X and Y (ties -&gt; average rank).</t>
        </is>
      </c>
    </row>
    <row r="19">
      <c r="A19" s="3" t="inlineStr">
        <is>
          <t>Pearson's r</t>
        </is>
      </c>
      <c r="B19" s="4" t="inlineStr">
        <is>
          <t>Excel: =COVAR(X,Y)/(STDEVP(X)*STDEVP(Y))  =  =CORREL(X,Y)   |   Math: r = covariance(X, Y) / (std(X) * std(Y)).</t>
        </is>
      </c>
    </row>
    <row r="20">
      <c r="A20" s="3" t="inlineStr">
        <is>
          <t>Pearson p-value</t>
        </is>
      </c>
      <c r="B20" s="4" t="inlineStr">
        <is>
          <t>Excel: =T.DIST.2T(ABS(r*SQRT((n-2)/(1-r^2))),n-2)   |   Math: t = r*sqrt((n-2)/(1-r^2)), df = n-2, p = 2*P(T_df &gt; |t|).</t>
        </is>
      </c>
    </row>
    <row r="21">
      <c r="A21" s="3" t="inlineStr">
        <is>
          <t>Spearman p-value</t>
        </is>
      </c>
      <c r="B21" s="4" t="inlineStr">
        <is>
          <t>Same t-test formula applied to Spearman rho.</t>
        </is>
      </c>
    </row>
    <row r="22">
      <c r="A22" s="3" t="inlineStr">
        <is>
          <t>FDR-adjusted p-value</t>
        </is>
      </c>
      <c r="B22" s="4" t="inlineStr">
        <is>
          <t>Benjamini-Hochberg step-up across all 45 Pearson p-values: p_adj[i] = min(1, p_sorted[i]*m/rank[i]), monotonicity enforced from largest to smallest p-value. Controls false discoveries.</t>
        </is>
      </c>
    </row>
    <row r="23">
      <c r="A23" s="3" t="inlineStr">
        <is>
          <t>Pearson 95% CI</t>
        </is>
      </c>
      <c r="B23" s="4" t="inlineStr">
        <is>
          <t>Fisher z-transform: z = 0.5*ln((1+r)/(1-r)), SE = 1/sqrt(n-3), CI on z-scale: z +/- 1.96*SE, back-transformed to r.</t>
        </is>
      </c>
    </row>
    <row r="24">
      <c r="A24" s="3" t="inlineStr">
        <is>
          <t>Compatibility (no #NAME?)</t>
        </is>
      </c>
      <c r="B24" s="4" t="inlineStr">
        <is>
          <t>Only classic Excel functions are used (CORREL, COVAR, STDEVP, T.DIST.2T, LN, EXP, SQRT, RANK, AVERAGE, COUNT, MAX, MIN, INDEX/MATCH, IF, ISNUMBER) so the file opens cleanly in any Excel or Numbers version. The Excel 2010+ 'future functions' RANK.AVG, STDEV.P and COVARIANCE.P are deliberately avoided (openpyxl cannot store them without an _xlfn. prefix, so they show #NAME?). Ranks are pre-computed with average-tie handling and written as values on ZCTA_Ranks / Primary_Worked_Example; the live CORREL formulas read them.</t>
        </is>
      </c>
    </row>
    <row r="25">
      <c r="A25" s="3" t="inlineStr">
        <is>
          <t>Rank note</t>
        </is>
      </c>
      <c r="B25" s="4" t="inlineStr">
        <is>
          <t>The authoritative Spearman ranks within each pair's complete subset (standard definition). The live Excel column ranks the whole column, which differs by &lt;0.001 here because only a few ZCTAs are dropped; both are shown for transparency.</t>
        </is>
      </c>
    </row>
    <row r="26">
      <c r="A26" s="2" t="inlineStr">
        <is>
          <t>County formulas</t>
        </is>
      </c>
    </row>
    <row r="27">
      <c r="A27" s="3" t="inlineStr">
        <is>
          <t>Residents per PCP</t>
        </is>
      </c>
      <c r="B27" s="4" t="inlineStr">
        <is>
          <t>AHRF population / AHRF primary-care physician count. Higher = fewer PCPs per person = bigger access gap.</t>
        </is>
      </c>
    </row>
    <row r="28">
      <c r="A28" s="3" t="inlineStr">
        <is>
          <t>Provider rank</t>
        </is>
      </c>
      <c r="B28" s="4" t="inlineStr">
        <is>
          <t>RANK(ratio, range, 0): rank 1 = highest residents-per-PCP = biggest gap.</t>
        </is>
      </c>
    </row>
    <row r="29">
      <c r="A29" s="3" t="inlineStr">
        <is>
          <t>Health-burden rank</t>
        </is>
      </c>
      <c r="B29" s="4" t="inlineStr">
        <is>
          <t>RANK(value, range, 0): rank 1 = highest burden.</t>
        </is>
      </c>
    </row>
    <row r="30">
      <c r="A30" s="3" t="inlineStr">
        <is>
          <t>County gap</t>
        </is>
      </c>
      <c r="B30" s="4" t="inlineStr">
        <is>
          <t>MAX(county values) - MIN(county values), computed after ranking.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0" customWidth="1" min="2" max="2"/>
    <col width="42" customWidth="1" min="3" max="3"/>
    <col width="19" customWidth="1" min="4" max="4"/>
    <col width="23" customWidth="1" min="5" max="5"/>
    <col width="29" customWidth="1" min="6" max="6"/>
    <col width="24" customWidth="1" min="7" max="7"/>
    <col width="46" customWidth="1" min="8" max="8"/>
    <col width="46" customWidth="1" min="9" max="9"/>
    <col width="46" customWidth="1" min="10" max="10"/>
    <col width="46" customWidth="1" min="11" max="11"/>
    <col width="31" customWidth="1" min="12" max="12"/>
    <col width="46" customWidth="1" min="13" max="13"/>
    <col width="32" customWidth="1" min="14" max="14"/>
    <col width="46" customWidth="1" min="15" max="15"/>
    <col width="43" customWidth="1" min="16" max="16"/>
    <col width="23" customWidth="1" min="17" max="17"/>
    <col width="22" customWidth="1" min="18" max="18"/>
    <col width="46" customWidth="1" min="19" max="19"/>
    <col width="46" customWidth="1" min="20" max="20"/>
  </cols>
  <sheetData>
    <row r="1">
      <c r="A1" s="5" t="inlineStr">
        <is>
          <t>Exposure</t>
        </is>
      </c>
      <c r="B1" s="5" t="inlineStr">
        <is>
          <t>Exposure role</t>
        </is>
      </c>
      <c r="C1" s="5" t="inlineStr">
        <is>
          <t>Outcome</t>
        </is>
      </c>
      <c r="D1" s="5" t="inlineStr">
        <is>
          <t>Outcome role</t>
        </is>
      </c>
      <c r="E1" s="5" t="inlineStr">
        <is>
          <t>n (pairwise-complete)</t>
        </is>
      </c>
      <c r="F1" s="5" t="inlineStr">
        <is>
          <t>Spearman rho (subset ranks)</t>
        </is>
      </c>
      <c r="G1" s="5" t="inlineStr">
        <is>
          <t>Pearson r (definition)</t>
        </is>
      </c>
      <c r="H1" s="5" t="inlineStr">
        <is>
          <t>Spearman rho (Excel: CORREL of ranks)</t>
        </is>
      </c>
      <c r="I1" s="5" t="inlineStr">
        <is>
          <t>Pearson r (Excel: CORREL)</t>
        </is>
      </c>
      <c r="J1" s="5" t="inlineStr">
        <is>
          <t>Spearman formula</t>
        </is>
      </c>
      <c r="K1" s="5" t="inlineStr">
        <is>
          <t>Pearson formula</t>
        </is>
      </c>
      <c r="L1" s="5" t="inlineStr">
        <is>
          <t>Pearson p-value (H0: rho = 0)</t>
        </is>
      </c>
      <c r="M1" s="5" t="inlineStr">
        <is>
          <t>Pearson p-value (Excel: T.DIST.2T)</t>
        </is>
      </c>
      <c r="N1" s="5" t="inlineStr">
        <is>
          <t>Spearman p-value (H0: rho = 0)</t>
        </is>
      </c>
      <c r="O1" s="5" t="inlineStr">
        <is>
          <t>Spearman p-value (Excel: T.DIST.2T)</t>
        </is>
      </c>
      <c r="P1" s="5" t="inlineStr">
        <is>
          <t>FDR-adjusted p-value (Benjamini-Hochberg)</t>
        </is>
      </c>
      <c r="Q1" s="5" t="inlineStr">
        <is>
          <t>Pearson 95% CI lower</t>
        </is>
      </c>
      <c r="R1" s="5" t="inlineStr">
        <is>
          <t>Pearson 95% CI upper</t>
        </is>
      </c>
      <c r="S1" s="5" t="inlineStr">
        <is>
          <t>Pearson 95% CI lower (Excel)</t>
        </is>
      </c>
      <c r="T1" s="5" t="inlineStr">
        <is>
          <t>Pearson 95% CI upper (Excel)</t>
        </is>
      </c>
    </row>
    <row r="2">
      <c r="A2" s="6" t="inlineStr">
        <is>
          <t>Poverty % (ACS DP03_0128PE)</t>
        </is>
      </c>
      <c r="B2" s="6" t="inlineStr">
        <is>
          <t>Primary exposure</t>
        </is>
      </c>
      <c r="C2" s="6" t="inlineStr">
        <is>
          <t>Diagnosed diabetes among adults (PLACES)</t>
        </is>
      </c>
      <c r="D2" s="6" t="inlineStr">
        <is>
          <t>Primary outcome</t>
        </is>
      </c>
      <c r="E2" s="6" t="n">
        <v>62</v>
      </c>
      <c r="F2" s="7" t="n">
        <v>0.3735463831307179</v>
      </c>
      <c r="G2" s="7" t="n">
        <v>0.3322149698658661</v>
      </c>
      <c r="H2" s="7">
        <f>CORREL(ZCTA_Ranks!C$2:C$69,ZCTA_Ranks!H$2:H$69)</f>
        <v/>
      </c>
      <c r="I2" s="7">
        <f>CORREL(ZCTA_Data!C$2:C$69,ZCTA_Data!H$2:H$69)</f>
        <v/>
      </c>
      <c r="J2" s="6" t="inlineStr">
        <is>
          <t>CORREL( rank(Pct_Below_Poverty), rank(PLACES_Pct_Diabetes) )</t>
        </is>
      </c>
      <c r="K2" s="6" t="inlineStr">
        <is>
          <t>COVAR(Pct_Below_Poverty,PLACES_Pct_Diabetes) / ( STDEVP(Pct_Below_Poverty) * STDEVP(PLACES_Pct_Diabetes) )  =  CORREL(x,y)</t>
        </is>
      </c>
      <c r="L2" s="7" t="n">
        <v>0.008339380777128232</v>
      </c>
      <c r="M2" s="7">
        <f>T.DIST.2T(ABS(I2*SQRT((E2-2)/(1-I2^2))),E2-2)</f>
        <v/>
      </c>
      <c r="N2" s="7" t="n">
        <v>0.002785064034938067</v>
      </c>
      <c r="O2" s="7">
        <f>T.DIST.2T(ABS(H2*SQRT((E2-2)/(1-H2^2))),E2-2)</f>
        <v/>
      </c>
      <c r="P2" s="7" t="n">
        <v>0.01787010166527478</v>
      </c>
      <c r="Q2" s="7" t="n">
        <v>0.08990695263106778</v>
      </c>
      <c r="R2" s="7" t="n">
        <v>0.537392127879654</v>
      </c>
      <c r="S2" s="7">
        <f>(EXP(2*(0.5*LN((1+I2)/(1-I2))-1.96*1/SQRT(E2-3)))-1)/(EXP(2*(0.5*LN((1+I2)/(1-I2))-1.96*1/SQRT(E2-3)))+1)</f>
        <v/>
      </c>
      <c r="T2" s="7">
        <f>(EXP(2*(0.5*LN((1+I2)/(1-I2))+1.96*1/SQRT(E2-3)))-1)/(EXP(2*(0.5*LN((1+I2)/(1-I2))+1.96*1/SQRT(E2-3)))+1)</f>
        <v/>
      </c>
    </row>
    <row r="3">
      <c r="A3" s="8" t="inlineStr">
        <is>
          <t>Poverty % (ACS DP03_0128PE)</t>
        </is>
      </c>
      <c r="B3" s="8" t="inlineStr">
        <is>
          <t>Primary exposure</t>
        </is>
      </c>
      <c r="C3" s="8" t="inlineStr">
        <is>
          <t>Obesity (PLACES)</t>
        </is>
      </c>
      <c r="D3" s="8" t="inlineStr">
        <is>
          <t>Secondary outcome</t>
        </is>
      </c>
      <c r="E3" s="8" t="n">
        <v>62</v>
      </c>
      <c r="F3" s="9" t="n">
        <v>0.4072217542300284</v>
      </c>
      <c r="G3" s="9" t="n">
        <v>0.3295520530132539</v>
      </c>
      <c r="H3" s="9">
        <f>CORREL(ZCTA_Ranks!C$2:C$69,ZCTA_Ranks!I$2:I$69)</f>
        <v/>
      </c>
      <c r="I3" s="9">
        <f>CORREL(ZCTA_Data!C$2:C$69,ZCTA_Data!I$2:I$69)</f>
        <v/>
      </c>
      <c r="J3" s="8" t="inlineStr">
        <is>
          <t>CORREL( rank(Pct_Below_Poverty), rank(PLACES_Pct_Obesity) )</t>
        </is>
      </c>
      <c r="K3" s="8" t="inlineStr">
        <is>
          <t>COVAR(Pct_Below_Poverty,PLACES_Pct_Obesity) / ( STDEVP(Pct_Below_Poverty) * STDEVP(PLACES_Pct_Obesity) )  =  CORREL(x,y)</t>
        </is>
      </c>
      <c r="L3" s="9" t="n">
        <v>0.008907218861232611</v>
      </c>
      <c r="M3" s="9">
        <f>T.DIST.2T(ABS(I3*SQRT((E3-2)/(1-I3^2))),E3-2)</f>
        <v/>
      </c>
      <c r="N3" s="9" t="n">
        <v>0.001020420037318799</v>
      </c>
      <c r="O3" s="9">
        <f>T.DIST.2T(ABS(H3*SQRT((E3-2)/(1-H3^2))),E3-2)</f>
        <v/>
      </c>
      <c r="P3" s="9" t="n">
        <v>0.0182193113070667</v>
      </c>
      <c r="Q3" s="9" t="n">
        <v>0.08694002495398802</v>
      </c>
      <c r="R3" s="9" t="n">
        <v>0.535261973428659</v>
      </c>
      <c r="S3" s="9">
        <f>(EXP(2*(0.5*LN((1+I3)/(1-I3))-1.96*1/SQRT(E3-3)))-1)/(EXP(2*(0.5*LN((1+I3)/(1-I3))-1.96*1/SQRT(E3-3)))+1)</f>
        <v/>
      </c>
      <c r="T3" s="9">
        <f>(EXP(2*(0.5*LN((1+I3)/(1-I3))+1.96*1/SQRT(E3-3)))-1)/(EXP(2*(0.5*LN((1+I3)/(1-I3))+1.96*1/SQRT(E3-3)))+1)</f>
        <v/>
      </c>
    </row>
    <row r="4">
      <c r="A4" s="8" t="inlineStr">
        <is>
          <t>Poverty % (ACS DP03_0128PE)</t>
        </is>
      </c>
      <c r="B4" s="8" t="inlineStr">
        <is>
          <t>Primary exposure</t>
        </is>
      </c>
      <c r="C4" s="8" t="inlineStr">
        <is>
          <t>Fair/poor self-rated health (PLACES)</t>
        </is>
      </c>
      <c r="D4" s="8" t="inlineStr">
        <is>
          <t>Secondary outcome</t>
        </is>
      </c>
      <c r="E4" s="8" t="n">
        <v>62</v>
      </c>
      <c r="F4" s="9" t="n">
        <v>0.4843458767820261</v>
      </c>
      <c r="G4" s="9" t="n">
        <v>0.392798269175021</v>
      </c>
      <c r="H4" s="9">
        <f>CORREL(ZCTA_Ranks!C$2:C$69,ZCTA_Ranks!J$2:J$69)</f>
        <v/>
      </c>
      <c r="I4" s="9">
        <f>CORREL(ZCTA_Data!C$2:C$69,ZCTA_Data!J$2:J$69)</f>
        <v/>
      </c>
      <c r="J4" s="8" t="inlineStr">
        <is>
          <t>CORREL( rank(Pct_Below_Poverty), rank(PLACES_Pct_Fair_Poor_Health) )</t>
        </is>
      </c>
      <c r="K4" s="8" t="inlineStr">
        <is>
          <t>COVAR(Pct_Below_Poverty,PLACES_Pct_Fair_Poor_Health) / ( STDEVP(Pct_Below_Poverty) * STDEVP(PLACES_Pct_Fair_Poor_Health) )  =  CORREL(x,y)</t>
        </is>
      </c>
      <c r="L4" s="9" t="n">
        <v>0.001588962878575427</v>
      </c>
      <c r="M4" s="9">
        <f>T.DIST.2T(ABS(I4*SQRT((E4-2)/(1-I4^2))),E4-2)</f>
        <v/>
      </c>
      <c r="N4" s="9" t="n">
        <v>6.640732588769968e-05</v>
      </c>
      <c r="O4" s="9">
        <f>T.DIST.2T(ABS(H4*SQRT((E4-2)/(1-H4^2))),E4-2)</f>
        <v/>
      </c>
      <c r="P4" s="9" t="n">
        <v>0.003972407196438568</v>
      </c>
      <c r="Q4" s="9" t="n">
        <v>0.1585889979922448</v>
      </c>
      <c r="R4" s="9" t="n">
        <v>0.5851575336226966</v>
      </c>
      <c r="S4" s="9">
        <f>(EXP(2*(0.5*LN((1+I4)/(1-I4))-1.96*1/SQRT(E4-3)))-1)/(EXP(2*(0.5*LN((1+I4)/(1-I4))-1.96*1/SQRT(E4-3)))+1)</f>
        <v/>
      </c>
      <c r="T4" s="9">
        <f>(EXP(2*(0.5*LN((1+I4)/(1-I4))+1.96*1/SQRT(E4-3)))-1)/(EXP(2*(0.5*LN((1+I4)/(1-I4))+1.96*1/SQRT(E4-3)))+1)</f>
        <v/>
      </c>
    </row>
    <row r="5">
      <c r="A5" s="8" t="inlineStr">
        <is>
          <t>Poverty % (ACS DP03_0128PE)</t>
        </is>
      </c>
      <c r="B5" s="8" t="inlineStr">
        <is>
          <t>Primary exposure</t>
        </is>
      </c>
      <c r="C5" s="8" t="inlineStr">
        <is>
          <t>Coronary heart disease (PLACES)</t>
        </is>
      </c>
      <c r="D5" s="8" t="inlineStr">
        <is>
          <t>Secondary outcome</t>
        </is>
      </c>
      <c r="E5" s="8" t="n">
        <v>62</v>
      </c>
      <c r="F5" s="9" t="n">
        <v>0.06749418462689255</v>
      </c>
      <c r="G5" s="9" t="n">
        <v>-0.00225468528825832</v>
      </c>
      <c r="H5" s="9">
        <f>CORREL(ZCTA_Ranks!C$2:C$69,ZCTA_Ranks!K$2:K$69)</f>
        <v/>
      </c>
      <c r="I5" s="9">
        <f>CORREL(ZCTA_Data!C$2:C$69,ZCTA_Data!K$2:K$69)</f>
        <v/>
      </c>
      <c r="J5" s="8" t="inlineStr">
        <is>
          <t>CORREL( rank(Pct_Below_Poverty), rank(PLACES_Pct_Coronary_Heart_Disease) )</t>
        </is>
      </c>
      <c r="K5" s="8" t="inlineStr">
        <is>
          <t>COVAR(Pct_Below_Poverty,PLACES_Pct_Coronary_Heart_Disease) / ( STDEVP(Pct_Below_Poverty) * STDEVP(PLACES_Pct_Coronary_Heart_Disease) )  =  CORREL(x,y)</t>
        </is>
      </c>
      <c r="L5" s="9" t="n">
        <v>0.986123792047642</v>
      </c>
      <c r="M5" s="9">
        <f>T.DIST.2T(ABS(I5*SQRT((E5-2)/(1-I5^2))),E5-2)</f>
        <v/>
      </c>
      <c r="N5" s="9" t="n">
        <v>0.602207110770226</v>
      </c>
      <c r="O5" s="9">
        <f>T.DIST.2T(ABS(H5*SQRT((E5-2)/(1-H5^2))),E5-2)</f>
        <v/>
      </c>
      <c r="P5" s="9" t="n">
        <v>0.986123792047642</v>
      </c>
      <c r="Q5" s="9" t="n">
        <v>-0.2518810415110677</v>
      </c>
      <c r="R5" s="9" t="n">
        <v>0.2476529828670423</v>
      </c>
      <c r="S5" s="9">
        <f>(EXP(2*(0.5*LN((1+I5)/(1-I5))-1.96*1/SQRT(E5-3)))-1)/(EXP(2*(0.5*LN((1+I5)/(1-I5))-1.96*1/SQRT(E5-3)))+1)</f>
        <v/>
      </c>
      <c r="T5" s="9">
        <f>(EXP(2*(0.5*LN((1+I5)/(1-I5))+1.96*1/SQRT(E5-3)))-1)/(EXP(2*(0.5*LN((1+I5)/(1-I5))+1.96*1/SQRT(E5-3)))+1)</f>
        <v/>
      </c>
    </row>
    <row r="6">
      <c r="A6" s="8" t="inlineStr">
        <is>
          <t>Poverty % (ACS DP03_0128PE)</t>
        </is>
      </c>
      <c r="B6" s="8" t="inlineStr">
        <is>
          <t>Primary exposure</t>
        </is>
      </c>
      <c r="C6" s="8" t="inlineStr">
        <is>
          <t>COPD (PLACES)</t>
        </is>
      </c>
      <c r="D6" s="8" t="inlineStr">
        <is>
          <t>Secondary outcome</t>
        </is>
      </c>
      <c r="E6" s="8" t="n">
        <v>62</v>
      </c>
      <c r="F6" s="9" t="n">
        <v>0.2647744461978535</v>
      </c>
      <c r="G6" s="9" t="n">
        <v>0.1635866968588066</v>
      </c>
      <c r="H6" s="9">
        <f>CORREL(ZCTA_Ranks!C$2:C$69,ZCTA_Ranks!L$2:L$69)</f>
        <v/>
      </c>
      <c r="I6" s="9">
        <f>CORREL(ZCTA_Data!C$2:C$69,ZCTA_Data!L$2:L$69)</f>
        <v/>
      </c>
      <c r="J6" s="8" t="inlineStr">
        <is>
          <t>CORREL( rank(Pct_Below_Poverty), rank(PLACES_Pct_COPD) )</t>
        </is>
      </c>
      <c r="K6" s="8" t="inlineStr">
        <is>
          <t>COVAR(Pct_Below_Poverty,PLACES_Pct_COPD) / ( STDEVP(Pct_Below_Poverty) * STDEVP(PLACES_Pct_COPD) )  =  CORREL(x,y)</t>
        </is>
      </c>
      <c r="L6" s="9" t="n">
        <v>0.2039253184077379</v>
      </c>
      <c r="M6" s="9">
        <f>T.DIST.2T(ABS(I6*SQRT((E6-2)/(1-I6^2))),E6-2)</f>
        <v/>
      </c>
      <c r="N6" s="9" t="n">
        <v>0.03755465868335692</v>
      </c>
      <c r="O6" s="9">
        <f>T.DIST.2T(ABS(H6*SQRT((E6-2)/(1-H6^2))),E6-2)</f>
        <v/>
      </c>
      <c r="P6" s="9" t="n">
        <v>0.262189695095663</v>
      </c>
      <c r="Q6" s="9" t="n">
        <v>-0.0898527785305393</v>
      </c>
      <c r="R6" s="9" t="n">
        <v>0.3971287146038474</v>
      </c>
      <c r="S6" s="9">
        <f>(EXP(2*(0.5*LN((1+I6)/(1-I6))-1.96*1/SQRT(E6-3)))-1)/(EXP(2*(0.5*LN((1+I6)/(1-I6))-1.96*1/SQRT(E6-3)))+1)</f>
        <v/>
      </c>
      <c r="T6" s="9">
        <f>(EXP(2*(0.5*LN((1+I6)/(1-I6))+1.96*1/SQRT(E6-3)))-1)/(EXP(2*(0.5*LN((1+I6)/(1-I6))+1.96*1/SQRT(E6-3)))+1)</f>
        <v/>
      </c>
    </row>
    <row r="7">
      <c r="A7" s="8" t="inlineStr">
        <is>
          <t>Poverty % (ACS DP03_0128PE)</t>
        </is>
      </c>
      <c r="B7" s="8" t="inlineStr">
        <is>
          <t>Primary exposure</t>
        </is>
      </c>
      <c r="C7" s="8" t="inlineStr">
        <is>
          <t>Stroke (PLACES)</t>
        </is>
      </c>
      <c r="D7" s="8" t="inlineStr">
        <is>
          <t>Secondary outcome</t>
        </is>
      </c>
      <c r="E7" s="8" t="n">
        <v>62</v>
      </c>
      <c r="F7" s="9" t="n">
        <v>0.3012845588041894</v>
      </c>
      <c r="G7" s="9" t="n">
        <v>0.2373555019865548</v>
      </c>
      <c r="H7" s="9">
        <f>CORREL(ZCTA_Ranks!C$2:C$69,ZCTA_Ranks!M$2:M$69)</f>
        <v/>
      </c>
      <c r="I7" s="9">
        <f>CORREL(ZCTA_Data!C$2:C$69,ZCTA_Data!M$2:M$69)</f>
        <v/>
      </c>
      <c r="J7" s="8" t="inlineStr">
        <is>
          <t>CORREL( rank(Pct_Below_Poverty), rank(PLACES_Pct_Stroke) )</t>
        </is>
      </c>
      <c r="K7" s="8" t="inlineStr">
        <is>
          <t>COVAR(Pct_Below_Poverty,PLACES_Pct_Stroke) / ( STDEVP(Pct_Below_Poverty) * STDEVP(PLACES_Pct_Stroke) )  =  CORREL(x,y)</t>
        </is>
      </c>
      <c r="L7" s="9" t="n">
        <v>0.06323344682527124</v>
      </c>
      <c r="M7" s="9">
        <f>T.DIST.2T(ABS(I7*SQRT((E7-2)/(1-I7^2))),E7-2)</f>
        <v/>
      </c>
      <c r="N7" s="9" t="n">
        <v>0.01733055133742444</v>
      </c>
      <c r="O7" s="9">
        <f>T.DIST.2T(ABS(H7*SQRT((E7-2)/(1-H7^2))),E7-2)</f>
        <v/>
      </c>
      <c r="P7" s="9" t="n">
        <v>0.09487788168228262</v>
      </c>
      <c r="Q7" s="9" t="n">
        <v>-0.01319494813548398</v>
      </c>
      <c r="R7" s="9" t="n">
        <v>0.4598613501078632</v>
      </c>
      <c r="S7" s="9">
        <f>(EXP(2*(0.5*LN((1+I7)/(1-I7))-1.96*1/SQRT(E7-3)))-1)/(EXP(2*(0.5*LN((1+I7)/(1-I7))-1.96*1/SQRT(E7-3)))+1)</f>
        <v/>
      </c>
      <c r="T7" s="9">
        <f>(EXP(2*(0.5*LN((1+I7)/(1-I7))+1.96*1/SQRT(E7-3)))-1)/(EXP(2*(0.5*LN((1+I7)/(1-I7))+1.96*1/SQRT(E7-3)))+1)</f>
        <v/>
      </c>
    </row>
    <row r="8">
      <c r="A8" s="8" t="inlineStr">
        <is>
          <t>Poverty % (ACS DP03_0128PE)</t>
        </is>
      </c>
      <c r="B8" s="8" t="inlineStr">
        <is>
          <t>Primary exposure</t>
        </is>
      </c>
      <c r="C8" s="8" t="inlineStr">
        <is>
          <t>Physical inactivity (PLACES)</t>
        </is>
      </c>
      <c r="D8" s="8" t="inlineStr">
        <is>
          <t>Secondary outcome</t>
        </is>
      </c>
      <c r="E8" s="8" t="n">
        <v>62</v>
      </c>
      <c r="F8" s="9" t="n">
        <v>0.4475397655355359</v>
      </c>
      <c r="G8" s="9" t="n">
        <v>0.3482704203200325</v>
      </c>
      <c r="H8" s="9">
        <f>CORREL(ZCTA_Ranks!C$2:C$69,ZCTA_Ranks!N$2:N$69)</f>
        <v/>
      </c>
      <c r="I8" s="9">
        <f>CORREL(ZCTA_Data!C$2:C$69,ZCTA_Data!N$2:N$69)</f>
        <v/>
      </c>
      <c r="J8" s="8" t="inlineStr">
        <is>
          <t>CORREL( rank(Pct_Below_Poverty), rank(PLACES_Pct_Physical_Inactivity) )</t>
        </is>
      </c>
      <c r="K8" s="8" t="inlineStr">
        <is>
          <t>COVAR(Pct_Below_Poverty,PLACES_Pct_Physical_Inactivity) / ( STDEVP(Pct_Below_Poverty) * STDEVP(PLACES_Pct_Physical_Inactivity) )  =  CORREL(x,y)</t>
        </is>
      </c>
      <c r="L8" s="9" t="n">
        <v>0.005538953857992913</v>
      </c>
      <c r="M8" s="9">
        <f>T.DIST.2T(ABS(I8*SQRT((E8-2)/(1-I8^2))),E8-2)</f>
        <v/>
      </c>
      <c r="N8" s="9" t="n">
        <v>0.0002652221036422027</v>
      </c>
      <c r="O8" s="9">
        <f>T.DIST.2T(ABS(H8*SQRT((E8-2)/(1-H8^2))),E8-2)</f>
        <v/>
      </c>
      <c r="P8" s="9" t="n">
        <v>0.01246264618048405</v>
      </c>
      <c r="Q8" s="9" t="n">
        <v>0.1078869680292583</v>
      </c>
      <c r="R8" s="9" t="n">
        <v>0.5501801684182452</v>
      </c>
      <c r="S8" s="9">
        <f>(EXP(2*(0.5*LN((1+I8)/(1-I8))-1.96*1/SQRT(E8-3)))-1)/(EXP(2*(0.5*LN((1+I8)/(1-I8))-1.96*1/SQRT(E8-3)))+1)</f>
        <v/>
      </c>
      <c r="T8" s="9">
        <f>(EXP(2*(0.5*LN((1+I8)/(1-I8))+1.96*1/SQRT(E8-3)))-1)/(EXP(2*(0.5*LN((1+I8)/(1-I8))+1.96*1/SQRT(E8-3)))+1)</f>
        <v/>
      </c>
    </row>
    <row r="9">
      <c r="A9" s="8" t="inlineStr">
        <is>
          <t>Poverty % (ACS DP03_0128PE)</t>
        </is>
      </c>
      <c r="B9" s="8" t="inlineStr">
        <is>
          <t>Primary exposure</t>
        </is>
      </c>
      <c r="C9" s="8" t="inlineStr">
        <is>
          <t>Frequent mental distress (PLACES)</t>
        </is>
      </c>
      <c r="D9" s="8" t="inlineStr">
        <is>
          <t>Secondary outcome</t>
        </is>
      </c>
      <c r="E9" s="8" t="n">
        <v>62</v>
      </c>
      <c r="F9" s="9" t="n">
        <v>0.3645216754286107</v>
      </c>
      <c r="G9" s="9" t="n">
        <v>0.3212397899155991</v>
      </c>
      <c r="H9" s="9">
        <f>CORREL(ZCTA_Ranks!C$2:C$69,ZCTA_Ranks!O$2:O$69)</f>
        <v/>
      </c>
      <c r="I9" s="9">
        <f>CORREL(ZCTA_Data!C$2:C$69,ZCTA_Data!O$2:O$69)</f>
        <v/>
      </c>
      <c r="J9" s="8" t="inlineStr">
        <is>
          <t>CORREL( rank(Pct_Below_Poverty), rank(PLACES_Pct_Frequent_Mental_Distress) )</t>
        </is>
      </c>
      <c r="K9" s="8" t="inlineStr">
        <is>
          <t>COVAR(Pct_Below_Poverty,PLACES_Pct_Frequent_Mental_Distress) / ( STDEVP(Pct_Below_Poverty) * STDEVP(PLACES_Pct_Frequent_Mental_Distress) )  =  CORREL(x,y)</t>
        </is>
      </c>
      <c r="L9" s="9" t="n">
        <v>0.01090167823575098</v>
      </c>
      <c r="M9" s="9">
        <f>T.DIST.2T(ABS(I9*SQRT((E9-2)/(1-I9^2))),E9-2)</f>
        <v/>
      </c>
      <c r="N9" s="9" t="n">
        <v>0.003582321807421068</v>
      </c>
      <c r="O9" s="9">
        <f>T.DIST.2T(ABS(H9*SQRT((E9-2)/(1-H9^2))),E9-2)</f>
        <v/>
      </c>
      <c r="P9" s="9" t="n">
        <v>0.02044064669203308</v>
      </c>
      <c r="Q9" s="9" t="n">
        <v>0.07770639771949073</v>
      </c>
      <c r="R9" s="9" t="n">
        <v>0.5285958483735295</v>
      </c>
      <c r="S9" s="9">
        <f>(EXP(2*(0.5*LN((1+I9)/(1-I9))-1.96*1/SQRT(E9-3)))-1)/(EXP(2*(0.5*LN((1+I9)/(1-I9))-1.96*1/SQRT(E9-3)))+1)</f>
        <v/>
      </c>
      <c r="T9" s="9">
        <f>(EXP(2*(0.5*LN((1+I9)/(1-I9))+1.96*1/SQRT(E9-3)))-1)/(EXP(2*(0.5*LN((1+I9)/(1-I9))+1.96*1/SQRT(E9-3)))+1)</f>
        <v/>
      </c>
    </row>
    <row r="10">
      <c r="A10" s="8" t="inlineStr">
        <is>
          <t>Poverty % (ACS DP03_0128PE)</t>
        </is>
      </c>
      <c r="B10" s="8" t="inlineStr">
        <is>
          <t>Primary exposure</t>
        </is>
      </c>
      <c r="C10" s="8" t="inlineStr">
        <is>
          <t>Current smoking (PLACES)</t>
        </is>
      </c>
      <c r="D10" s="8" t="inlineStr">
        <is>
          <t>Secondary outcome</t>
        </is>
      </c>
      <c r="E10" s="8" t="n">
        <v>62</v>
      </c>
      <c r="F10" s="9" t="n">
        <v>0.4231302147073447</v>
      </c>
      <c r="G10" s="9" t="n">
        <v>0.3137211241389816</v>
      </c>
      <c r="H10" s="9">
        <f>CORREL(ZCTA_Ranks!C$2:C$69,ZCTA_Ranks!P$2:P$69)</f>
        <v/>
      </c>
      <c r="I10" s="9">
        <f>CORREL(ZCTA_Data!C$2:C$69,ZCTA_Data!P$2:P$69)</f>
        <v/>
      </c>
      <c r="J10" s="8" t="inlineStr">
        <is>
          <t>CORREL( rank(Pct_Below_Poverty), rank(PLACES_Pct_Current_Smoking) )</t>
        </is>
      </c>
      <c r="K10" s="8" t="inlineStr">
        <is>
          <t>COVAR(Pct_Below_Poverty,PLACES_Pct_Current_Smoking) / ( STDEVP(Pct_Below_Poverty) * STDEVP(PLACES_Pct_Current_Smoking) )  =  CORREL(x,y)</t>
        </is>
      </c>
      <c r="L10" s="9" t="n">
        <v>0.01302792649329931</v>
      </c>
      <c r="M10" s="9">
        <f>T.DIST.2T(ABS(I10*SQRT((E10-2)/(1-I10^2))),E10-2)</f>
        <v/>
      </c>
      <c r="N10" s="9" t="n">
        <v>0.0006116482785562967</v>
      </c>
      <c r="O10" s="9">
        <f>T.DIST.2T(ABS(H10*SQRT((E10-2)/(1-H10^2))),E10-2)</f>
        <v/>
      </c>
      <c r="P10" s="9" t="n">
        <v>0.02345026768793876</v>
      </c>
      <c r="Q10" s="9" t="n">
        <v>0.06939016559293579</v>
      </c>
      <c r="R10" s="9" t="n">
        <v>0.522544049441345</v>
      </c>
      <c r="S10" s="9">
        <f>(EXP(2*(0.5*LN((1+I10)/(1-I10))-1.96*1/SQRT(E10-3)))-1)/(EXP(2*(0.5*LN((1+I10)/(1-I10))-1.96*1/SQRT(E10-3)))+1)</f>
        <v/>
      </c>
      <c r="T10" s="9">
        <f>(EXP(2*(0.5*LN((1+I10)/(1-I10))+1.96*1/SQRT(E10-3)))-1)/(EXP(2*(0.5*LN((1+I10)/(1-I10))+1.96*1/SQRT(E10-3)))+1)</f>
        <v/>
      </c>
    </row>
    <row r="11">
      <c r="A11" s="8" t="inlineStr">
        <is>
          <t>Median household income (ACS)</t>
        </is>
      </c>
      <c r="B11" s="8" t="inlineStr">
        <is>
          <t>Secondary exposure</t>
        </is>
      </c>
      <c r="C11" s="8" t="inlineStr">
        <is>
          <t>Diagnosed diabetes among adults (PLACES)</t>
        </is>
      </c>
      <c r="D11" s="8" t="inlineStr">
        <is>
          <t>Primary outcome</t>
        </is>
      </c>
      <c r="E11" s="8" t="n">
        <v>62</v>
      </c>
      <c r="F11" s="9" t="n">
        <v>-0.6110762106876177</v>
      </c>
      <c r="G11" s="9" t="n">
        <v>-0.6169964829406135</v>
      </c>
      <c r="H11" s="9">
        <f>CORREL(ZCTA_Ranks!D$2:D$69,ZCTA_Ranks!H$2:H$69)</f>
        <v/>
      </c>
      <c r="I11" s="9">
        <f>CORREL(ZCTA_Data!D$2:D$69,ZCTA_Data!H$2:H$69)</f>
        <v/>
      </c>
      <c r="J11" s="8" t="inlineStr">
        <is>
          <t>CORREL( rank(Median_Household_Income), rank(PLACES_Pct_Diabetes) )</t>
        </is>
      </c>
      <c r="K11" s="8" t="inlineStr">
        <is>
          <t>COVAR(Median_Household_Income,PLACES_Pct_Diabetes) / ( STDEVP(Median_Household_Income) * STDEVP(PLACES_Pct_Diabetes) )  =  CORREL(x,y)</t>
        </is>
      </c>
      <c r="L11" s="9" t="n">
        <v>9.276338606808193e-08</v>
      </c>
      <c r="M11" s="9">
        <f>T.DIST.2T(ABS(I11*SQRT((E11-2)/(1-I11^2))),E11-2)</f>
        <v/>
      </c>
      <c r="N11" s="9" t="n">
        <v>1.32833421177691e-07</v>
      </c>
      <c r="O11" s="9">
        <f>T.DIST.2T(ABS(H11*SQRT((E11-2)/(1-H11^2))),E11-2)</f>
        <v/>
      </c>
      <c r="P11" s="9" t="n">
        <v>5.963360532948124e-07</v>
      </c>
      <c r="Q11" s="9" t="n">
        <v>-0.7510268628479863</v>
      </c>
      <c r="R11" s="9" t="n">
        <v>-0.4341304286211723</v>
      </c>
      <c r="S11" s="9">
        <f>(EXP(2*(0.5*LN((1+I11)/(1-I11))-1.96*1/SQRT(E11-3)))-1)/(EXP(2*(0.5*LN((1+I11)/(1-I11))-1.96*1/SQRT(E11-3)))+1)</f>
        <v/>
      </c>
      <c r="T11" s="9">
        <f>(EXP(2*(0.5*LN((1+I11)/(1-I11))+1.96*1/SQRT(E11-3)))-1)/(EXP(2*(0.5*LN((1+I11)/(1-I11))+1.96*1/SQRT(E11-3)))+1)</f>
        <v/>
      </c>
    </row>
    <row r="12">
      <c r="A12" s="8" t="inlineStr">
        <is>
          <t>Median household income (ACS)</t>
        </is>
      </c>
      <c r="B12" s="8" t="inlineStr">
        <is>
          <t>Secondary exposure</t>
        </is>
      </c>
      <c r="C12" s="8" t="inlineStr">
        <is>
          <t>Obesity (PLACES)</t>
        </is>
      </c>
      <c r="D12" s="8" t="inlineStr">
        <is>
          <t>Secondary outcome</t>
        </is>
      </c>
      <c r="E12" s="8" t="n">
        <v>62</v>
      </c>
      <c r="F12" s="9" t="n">
        <v>-0.7144620300440871</v>
      </c>
      <c r="G12" s="9" t="n">
        <v>-0.6691436886265273</v>
      </c>
      <c r="H12" s="9">
        <f>CORREL(ZCTA_Ranks!D$2:D$69,ZCTA_Ranks!I$2:I$69)</f>
        <v/>
      </c>
      <c r="I12" s="9">
        <f>CORREL(ZCTA_Data!D$2:D$69,ZCTA_Data!I$2:I$69)</f>
        <v/>
      </c>
      <c r="J12" s="8" t="inlineStr">
        <is>
          <t>CORREL( rank(Median_Household_Income), rank(PLACES_Pct_Obesity) )</t>
        </is>
      </c>
      <c r="K12" s="8" t="inlineStr">
        <is>
          <t>COVAR(Median_Household_Income,PLACES_Pct_Obesity) / ( STDEVP(Median_Household_Income) * STDEVP(PLACES_Pct_Obesity) )  =  CORREL(x,y)</t>
        </is>
      </c>
      <c r="L12" s="9" t="n">
        <v>2.762297518543269e-09</v>
      </c>
      <c r="M12" s="9">
        <f>T.DIST.2T(ABS(I12*SQRT((E12-2)/(1-I12^2))),E12-2)</f>
        <v/>
      </c>
      <c r="N12" s="9" t="n">
        <v>6.987857058661035e-11</v>
      </c>
      <c r="O12" s="9">
        <f>T.DIST.2T(ABS(H12*SQRT((E12-2)/(1-H12^2))),E12-2)</f>
        <v/>
      </c>
      <c r="P12" s="9" t="n">
        <v>2.486067766688942e-08</v>
      </c>
      <c r="Q12" s="9" t="n">
        <v>-0.7873255322976357</v>
      </c>
      <c r="R12" s="9" t="n">
        <v>-0.5035310397016981</v>
      </c>
      <c r="S12" s="9">
        <f>(EXP(2*(0.5*LN((1+I12)/(1-I12))-1.96*1/SQRT(E12-3)))-1)/(EXP(2*(0.5*LN((1+I12)/(1-I12))-1.96*1/SQRT(E12-3)))+1)</f>
        <v/>
      </c>
      <c r="T12" s="9">
        <f>(EXP(2*(0.5*LN((1+I12)/(1-I12))+1.96*1/SQRT(E12-3)))-1)/(EXP(2*(0.5*LN((1+I12)/(1-I12))+1.96*1/SQRT(E12-3)))+1)</f>
        <v/>
      </c>
    </row>
    <row r="13">
      <c r="A13" s="8" t="inlineStr">
        <is>
          <t>Median household income (ACS)</t>
        </is>
      </c>
      <c r="B13" s="8" t="inlineStr">
        <is>
          <t>Secondary exposure</t>
        </is>
      </c>
      <c r="C13" s="8" t="inlineStr">
        <is>
          <t>Fair/poor self-rated health (PLACES)</t>
        </is>
      </c>
      <c r="D13" s="8" t="inlineStr">
        <is>
          <t>Secondary outcome</t>
        </is>
      </c>
      <c r="E13" s="8" t="n">
        <v>62</v>
      </c>
      <c r="F13" s="9" t="n">
        <v>-0.7712339339065793</v>
      </c>
      <c r="G13" s="9" t="n">
        <v>-0.7361643187981411</v>
      </c>
      <c r="H13" s="9">
        <f>CORREL(ZCTA_Ranks!D$2:D$69,ZCTA_Ranks!J$2:J$69)</f>
        <v/>
      </c>
      <c r="I13" s="9">
        <f>CORREL(ZCTA_Data!D$2:D$69,ZCTA_Data!J$2:J$69)</f>
        <v/>
      </c>
      <c r="J13" s="8" t="inlineStr">
        <is>
          <t>CORREL( rank(Median_Household_Income), rank(PLACES_Pct_Fair_Poor_Health) )</t>
        </is>
      </c>
      <c r="K13" s="8" t="inlineStr">
        <is>
          <t>COVAR(Median_Household_Income,PLACES_Pct_Fair_Poor_Health) / ( STDEVP(Median_Household_Income) * STDEVP(PLACES_Pct_Fair_Poor_Health) )  =  CORREL(x,y)</t>
        </is>
      </c>
      <c r="L13" s="9" t="n">
        <v>9.248541431935149e-12</v>
      </c>
      <c r="M13" s="9">
        <f>T.DIST.2T(ABS(I13*SQRT((E13-2)/(1-I13^2))),E13-2)</f>
        <v/>
      </c>
      <c r="N13" s="9" t="n">
        <v>2.234822356174487e-13</v>
      </c>
      <c r="O13" s="9">
        <f>T.DIST.2T(ABS(H13*SQRT((E13-2)/(1-H13^2))),E13-2)</f>
        <v/>
      </c>
      <c r="P13" s="9" t="n">
        <v>1.387281214790272e-10</v>
      </c>
      <c r="Q13" s="9" t="n">
        <v>-0.8328044093235746</v>
      </c>
      <c r="R13" s="9" t="n">
        <v>-0.5959790445291001</v>
      </c>
      <c r="S13" s="9">
        <f>(EXP(2*(0.5*LN((1+I13)/(1-I13))-1.96*1/SQRT(E13-3)))-1)/(EXP(2*(0.5*LN((1+I13)/(1-I13))-1.96*1/SQRT(E13-3)))+1)</f>
        <v/>
      </c>
      <c r="T13" s="9">
        <f>(EXP(2*(0.5*LN((1+I13)/(1-I13))+1.96*1/SQRT(E13-3)))-1)/(EXP(2*(0.5*LN((1+I13)/(1-I13))+1.96*1/SQRT(E13-3)))+1)</f>
        <v/>
      </c>
    </row>
    <row r="14">
      <c r="A14" s="8" t="inlineStr">
        <is>
          <t>Median household income (ACS)</t>
        </is>
      </c>
      <c r="B14" s="8" t="inlineStr">
        <is>
          <t>Secondary exposure</t>
        </is>
      </c>
      <c r="C14" s="8" t="inlineStr">
        <is>
          <t>Coronary heart disease (PLACES)</t>
        </is>
      </c>
      <c r="D14" s="8" t="inlineStr">
        <is>
          <t>Secondary outcome</t>
        </is>
      </c>
      <c r="E14" s="8" t="n">
        <v>62</v>
      </c>
      <c r="F14" s="9" t="n">
        <v>-0.1722947892183871</v>
      </c>
      <c r="G14" s="9" t="n">
        <v>-0.1545536302462415</v>
      </c>
      <c r="H14" s="9">
        <f>CORREL(ZCTA_Ranks!D$2:D$69,ZCTA_Ranks!K$2:K$69)</f>
        <v/>
      </c>
      <c r="I14" s="9">
        <f>CORREL(ZCTA_Data!D$2:D$69,ZCTA_Data!K$2:K$69)</f>
        <v/>
      </c>
      <c r="J14" s="8" t="inlineStr">
        <is>
          <t>CORREL( rank(Median_Household_Income), rank(PLACES_Pct_Coronary_Heart_Disease) )</t>
        </is>
      </c>
      <c r="K14" s="8" t="inlineStr">
        <is>
          <t>COVAR(Median_Household_Income,PLACES_Pct_Coronary_Heart_Disease) / ( STDEVP(Median_Household_Income) * STDEVP(PLACES_Pct_Coronary_Heart_Disease) )  =  CORREL(x,y)</t>
        </is>
      </c>
      <c r="L14" s="9" t="n">
        <v>0.230367447948961</v>
      </c>
      <c r="M14" s="9">
        <f>T.DIST.2T(ABS(I14*SQRT((E14-2)/(1-I14^2))),E14-2)</f>
        <v/>
      </c>
      <c r="N14" s="9" t="n">
        <v>0.1805446284407257</v>
      </c>
      <c r="O14" s="9">
        <f>T.DIST.2T(ABS(H14*SQRT((E14-2)/(1-H14^2))),E14-2)</f>
        <v/>
      </c>
      <c r="P14" s="9" t="n">
        <v>0.2801766258838715</v>
      </c>
      <c r="Q14" s="9" t="n">
        <v>-0.389294076272452</v>
      </c>
      <c r="R14" s="9" t="n">
        <v>0.0990376827702238</v>
      </c>
      <c r="S14" s="9">
        <f>(EXP(2*(0.5*LN((1+I14)/(1-I14))-1.96*1/SQRT(E14-3)))-1)/(EXP(2*(0.5*LN((1+I14)/(1-I14))-1.96*1/SQRT(E14-3)))+1)</f>
        <v/>
      </c>
      <c r="T14" s="9">
        <f>(EXP(2*(0.5*LN((1+I14)/(1-I14))+1.96*1/SQRT(E14-3)))-1)/(EXP(2*(0.5*LN((1+I14)/(1-I14))+1.96*1/SQRT(E14-3)))+1)</f>
        <v/>
      </c>
    </row>
    <row r="15">
      <c r="A15" s="8" t="inlineStr">
        <is>
          <t>Median household income (ACS)</t>
        </is>
      </c>
      <c r="B15" s="8" t="inlineStr">
        <is>
          <t>Secondary exposure</t>
        </is>
      </c>
      <c r="C15" s="8" t="inlineStr">
        <is>
          <t>COPD (PLACES)</t>
        </is>
      </c>
      <c r="D15" s="8" t="inlineStr">
        <is>
          <t>Secondary outcome</t>
        </is>
      </c>
      <c r="E15" s="8" t="n">
        <v>62</v>
      </c>
      <c r="F15" s="9" t="n">
        <v>-0.5538256685144031</v>
      </c>
      <c r="G15" s="9" t="n">
        <v>-0.5506787484505834</v>
      </c>
      <c r="H15" s="9">
        <f>CORREL(ZCTA_Ranks!D$2:D$69,ZCTA_Ranks!L$2:L$69)</f>
        <v/>
      </c>
      <c r="I15" s="9">
        <f>CORREL(ZCTA_Data!D$2:D$69,ZCTA_Data!L$2:L$69)</f>
        <v/>
      </c>
      <c r="J15" s="8" t="inlineStr">
        <is>
          <t>CORREL( rank(Median_Household_Income), rank(PLACES_Pct_COPD) )</t>
        </is>
      </c>
      <c r="K15" s="8" t="inlineStr">
        <is>
          <t>COVAR(Median_Household_Income,PLACES_Pct_COPD) / ( STDEVP(Median_Household_Income) * STDEVP(PLACES_Pct_COPD) )  =  CORREL(x,y)</t>
        </is>
      </c>
      <c r="L15" s="9" t="n">
        <v>3.529084649254025e-06</v>
      </c>
      <c r="M15" s="9">
        <f>T.DIST.2T(ABS(I15*SQRT((E15-2)/(1-I15^2))),E15-2)</f>
        <v/>
      </c>
      <c r="N15" s="9" t="n">
        <v>3.021719306523761e-06</v>
      </c>
      <c r="O15" s="9">
        <f>T.DIST.2T(ABS(H15*SQRT((E15-2)/(1-H15^2))),E15-2)</f>
        <v/>
      </c>
      <c r="P15" s="9" t="n">
        <v>1.764542324627013e-05</v>
      </c>
      <c r="Q15" s="9" t="n">
        <v>-0.703663620433053</v>
      </c>
      <c r="R15" s="9" t="n">
        <v>-0.3488987987201232</v>
      </c>
      <c r="S15" s="9">
        <f>(EXP(2*(0.5*LN((1+I15)/(1-I15))-1.96*1/SQRT(E15-3)))-1)/(EXP(2*(0.5*LN((1+I15)/(1-I15))-1.96*1/SQRT(E15-3)))+1)</f>
        <v/>
      </c>
      <c r="T15" s="9">
        <f>(EXP(2*(0.5*LN((1+I15)/(1-I15))+1.96*1/SQRT(E15-3)))-1)/(EXP(2*(0.5*LN((1+I15)/(1-I15))+1.96*1/SQRT(E15-3)))+1)</f>
        <v/>
      </c>
    </row>
    <row r="16">
      <c r="A16" s="8" t="inlineStr">
        <is>
          <t>Median household income (ACS)</t>
        </is>
      </c>
      <c r="B16" s="8" t="inlineStr">
        <is>
          <t>Secondary exposure</t>
        </is>
      </c>
      <c r="C16" s="8" t="inlineStr">
        <is>
          <t>Stroke (PLACES)</t>
        </is>
      </c>
      <c r="D16" s="8" t="inlineStr">
        <is>
          <t>Secondary outcome</t>
        </is>
      </c>
      <c r="E16" s="8" t="n">
        <v>62</v>
      </c>
      <c r="F16" s="9" t="n">
        <v>-0.5017981300317076</v>
      </c>
      <c r="G16" s="9" t="n">
        <v>-0.5025513583198454</v>
      </c>
      <c r="H16" s="9">
        <f>CORREL(ZCTA_Ranks!D$2:D$69,ZCTA_Ranks!M$2:M$69)</f>
        <v/>
      </c>
      <c r="I16" s="9">
        <f>CORREL(ZCTA_Data!D$2:D$69,ZCTA_Data!M$2:M$69)</f>
        <v/>
      </c>
      <c r="J16" s="8" t="inlineStr">
        <is>
          <t>CORREL( rank(Median_Household_Income), rank(PLACES_Pct_Stroke) )</t>
        </is>
      </c>
      <c r="K16" s="8" t="inlineStr">
        <is>
          <t>COVAR(Median_Household_Income,PLACES_Pct_Stroke) / ( STDEVP(Median_Household_Income) * STDEVP(PLACES_Pct_Stroke) )  =  CORREL(x,y)</t>
        </is>
      </c>
      <c r="L16" s="9" t="n">
        <v>3.15099286695316e-05</v>
      </c>
      <c r="M16" s="9">
        <f>T.DIST.2T(ABS(I16*SQRT((E16-2)/(1-I16^2))),E16-2)</f>
        <v/>
      </c>
      <c r="N16" s="9" t="n">
        <v>3.252447325673471e-05</v>
      </c>
      <c r="O16" s="9">
        <f>T.DIST.2T(ABS(H16*SQRT((E16-2)/(1-H16^2))),E16-2)</f>
        <v/>
      </c>
      <c r="P16" s="9" t="n">
        <v>0.0001371674760088781</v>
      </c>
      <c r="Q16" s="9" t="n">
        <v>-0.6684187388661572</v>
      </c>
      <c r="R16" s="9" t="n">
        <v>-0.2890672693757967</v>
      </c>
      <c r="S16" s="9">
        <f>(EXP(2*(0.5*LN((1+I16)/(1-I16))-1.96*1/SQRT(E16-3)))-1)/(EXP(2*(0.5*LN((1+I16)/(1-I16))-1.96*1/SQRT(E16-3)))+1)</f>
        <v/>
      </c>
      <c r="T16" s="9">
        <f>(EXP(2*(0.5*LN((1+I16)/(1-I16))+1.96*1/SQRT(E16-3)))-1)/(EXP(2*(0.5*LN((1+I16)/(1-I16))+1.96*1/SQRT(E16-3)))+1)</f>
        <v/>
      </c>
    </row>
    <row r="17">
      <c r="A17" s="8" t="inlineStr">
        <is>
          <t>Median household income (ACS)</t>
        </is>
      </c>
      <c r="B17" s="8" t="inlineStr">
        <is>
          <t>Secondary exposure</t>
        </is>
      </c>
      <c r="C17" s="8" t="inlineStr">
        <is>
          <t>Physical inactivity (PLACES)</t>
        </is>
      </c>
      <c r="D17" s="8" t="inlineStr">
        <is>
          <t>Secondary outcome</t>
        </is>
      </c>
      <c r="E17" s="8" t="n">
        <v>62</v>
      </c>
      <c r="F17" s="9" t="n">
        <v>-0.7416007715072337</v>
      </c>
      <c r="G17" s="9" t="n">
        <v>-0.7420889147670268</v>
      </c>
      <c r="H17" s="9">
        <f>CORREL(ZCTA_Ranks!D$2:D$69,ZCTA_Ranks!N$2:N$69)</f>
        <v/>
      </c>
      <c r="I17" s="9">
        <f>CORREL(ZCTA_Data!D$2:D$69,ZCTA_Data!N$2:N$69)</f>
        <v/>
      </c>
      <c r="J17" s="8" t="inlineStr">
        <is>
          <t>CORREL( rank(Median_Household_Income), rank(PLACES_Pct_Physical_Inactivity) )</t>
        </is>
      </c>
      <c r="K17" s="8" t="inlineStr">
        <is>
          <t>COVAR(Median_Household_Income,PLACES_Pct_Physical_Inactivity) / ( STDEVP(Median_Household_Income) * STDEVP(PLACES_Pct_Physical_Inactivity) )  =  CORREL(x,y)</t>
        </is>
      </c>
      <c r="L17" s="9" t="n">
        <v>5.143569195502508e-12</v>
      </c>
      <c r="M17" s="9">
        <f>T.DIST.2T(ABS(I17*SQRT((E17-2)/(1-I17^2))),E17-2)</f>
        <v/>
      </c>
      <c r="N17" s="9" t="n">
        <v>5.401562808848289e-12</v>
      </c>
      <c r="O17" s="9">
        <f>T.DIST.2T(ABS(H17*SQRT((E17-2)/(1-H17^2))),E17-2)</f>
        <v/>
      </c>
      <c r="P17" s="9" t="n">
        <v>1.157303068988064e-10</v>
      </c>
      <c r="Q17" s="9" t="n">
        <v>-0.8367629290881933</v>
      </c>
      <c r="R17" s="9" t="n">
        <v>-0.6043341823931339</v>
      </c>
      <c r="S17" s="9">
        <f>(EXP(2*(0.5*LN((1+I17)/(1-I17))-1.96*1/SQRT(E17-3)))-1)/(EXP(2*(0.5*LN((1+I17)/(1-I17))-1.96*1/SQRT(E17-3)))+1)</f>
        <v/>
      </c>
      <c r="T17" s="9">
        <f>(EXP(2*(0.5*LN((1+I17)/(1-I17))+1.96*1/SQRT(E17-3)))-1)/(EXP(2*(0.5*LN((1+I17)/(1-I17))+1.96*1/SQRT(E17-3)))+1)</f>
        <v/>
      </c>
    </row>
    <row r="18">
      <c r="A18" s="8" t="inlineStr">
        <is>
          <t>Median household income (ACS)</t>
        </is>
      </c>
      <c r="B18" s="8" t="inlineStr">
        <is>
          <t>Secondary exposure</t>
        </is>
      </c>
      <c r="C18" s="8" t="inlineStr">
        <is>
          <t>Frequent mental distress (PLACES)</t>
        </is>
      </c>
      <c r="D18" s="8" t="inlineStr">
        <is>
          <t>Secondary outcome</t>
        </is>
      </c>
      <c r="E18" s="8" t="n">
        <v>62</v>
      </c>
      <c r="F18" s="9" t="n">
        <v>-0.6788517671355782</v>
      </c>
      <c r="G18" s="9" t="n">
        <v>-0.6449563998084831</v>
      </c>
      <c r="H18" s="9">
        <f>CORREL(ZCTA_Ranks!D$2:D$69,ZCTA_Ranks!O$2:O$69)</f>
        <v/>
      </c>
      <c r="I18" s="9">
        <f>CORREL(ZCTA_Data!D$2:D$69,ZCTA_Data!O$2:O$69)</f>
        <v/>
      </c>
      <c r="J18" s="8" t="inlineStr">
        <is>
          <t>CORREL( rank(Median_Household_Income), rank(PLACES_Pct_Frequent_Mental_Distress) )</t>
        </is>
      </c>
      <c r="K18" s="8" t="inlineStr">
        <is>
          <t>COVAR(Median_Household_Income,PLACES_Pct_Frequent_Mental_Distress) / ( STDEVP(Median_Household_Income) * STDEVP(PLACES_Pct_Frequent_Mental_Distress) )  =  CORREL(x,y)</t>
        </is>
      </c>
      <c r="L18" s="9" t="n">
        <v>1.532001356115784e-08</v>
      </c>
      <c r="M18" s="9">
        <f>T.DIST.2T(ABS(I18*SQRT((E18-2)/(1-I18^2))),E18-2)</f>
        <v/>
      </c>
      <c r="N18" s="9" t="n">
        <v>1.327286512344538e-09</v>
      </c>
      <c r="O18" s="9">
        <f>T.DIST.2T(ABS(H18*SQRT((E18-2)/(1-H18^2))),E18-2)</f>
        <v/>
      </c>
      <c r="P18" s="9" t="n">
        <v>1.149001017086838e-07</v>
      </c>
      <c r="Q18" s="9" t="n">
        <v>-0.7705904883593363</v>
      </c>
      <c r="R18" s="9" t="n">
        <v>-0.4710731890843526</v>
      </c>
      <c r="S18" s="9">
        <f>(EXP(2*(0.5*LN((1+I18)/(1-I18))-1.96*1/SQRT(E18-3)))-1)/(EXP(2*(0.5*LN((1+I18)/(1-I18))-1.96*1/SQRT(E18-3)))+1)</f>
        <v/>
      </c>
      <c r="T18" s="9">
        <f>(EXP(2*(0.5*LN((1+I18)/(1-I18))+1.96*1/SQRT(E18-3)))-1)/(EXP(2*(0.5*LN((1+I18)/(1-I18))+1.96*1/SQRT(E18-3)))+1)</f>
        <v/>
      </c>
    </row>
    <row r="19">
      <c r="A19" s="8" t="inlineStr">
        <is>
          <t>Median household income (ACS)</t>
        </is>
      </c>
      <c r="B19" s="8" t="inlineStr">
        <is>
          <t>Secondary exposure</t>
        </is>
      </c>
      <c r="C19" s="8" t="inlineStr">
        <is>
          <t>Current smoking (PLACES)</t>
        </is>
      </c>
      <c r="D19" s="8" t="inlineStr">
        <is>
          <t>Secondary outcome</t>
        </is>
      </c>
      <c r="E19" s="8" t="n">
        <v>62</v>
      </c>
      <c r="F19" s="9" t="n">
        <v>-0.7545810827717365</v>
      </c>
      <c r="G19" s="9" t="n">
        <v>-0.7250629597723826</v>
      </c>
      <c r="H19" s="9">
        <f>CORREL(ZCTA_Ranks!D$2:D$69,ZCTA_Ranks!P$2:P$69)</f>
        <v/>
      </c>
      <c r="I19" s="9">
        <f>CORREL(ZCTA_Data!D$2:D$69,ZCTA_Data!P$2:P$69)</f>
        <v/>
      </c>
      <c r="J19" s="8" t="inlineStr">
        <is>
          <t>CORREL( rank(Median_Household_Income), rank(PLACES_Pct_Current_Smoking) )</t>
        </is>
      </c>
      <c r="K19" s="8" t="inlineStr">
        <is>
          <t>COVAR(Median_Household_Income,PLACES_Pct_Current_Smoking) / ( STDEVP(Median_Household_Income) * STDEVP(PLACES_Pct_Current_Smoking) )  =  CORREL(x,y)</t>
        </is>
      </c>
      <c r="L19" s="9" t="n">
        <v>2.665100456534304e-11</v>
      </c>
      <c r="M19" s="9">
        <f>T.DIST.2T(ABS(I19*SQRT((E19-2)/(1-I19^2))),E19-2)</f>
        <v/>
      </c>
      <c r="N19" s="9" t="n">
        <v>1.41463169320934e-12</v>
      </c>
      <c r="O19" s="9">
        <f>T.DIST.2T(ABS(H19*SQRT((E19-2)/(1-H19^2))),E19-2)</f>
        <v/>
      </c>
      <c r="P19" s="9" t="n">
        <v>2.998238013601092e-10</v>
      </c>
      <c r="Q19" s="9" t="n">
        <v>-0.8253603282184918</v>
      </c>
      <c r="R19" s="9" t="n">
        <v>-0.5804046966261465</v>
      </c>
      <c r="S19" s="9">
        <f>(EXP(2*(0.5*LN((1+I19)/(1-I19))-1.96*1/SQRT(E19-3)))-1)/(EXP(2*(0.5*LN((1+I19)/(1-I19))-1.96*1/SQRT(E19-3)))+1)</f>
        <v/>
      </c>
      <c r="T19" s="9">
        <f>(EXP(2*(0.5*LN((1+I19)/(1-I19))+1.96*1/SQRT(E19-3)))-1)/(EXP(2*(0.5*LN((1+I19)/(1-I19))+1.96*1/SQRT(E19-3)))+1)</f>
        <v/>
      </c>
    </row>
    <row r="20">
      <c r="A20" s="8" t="inlineStr">
        <is>
          <t>Uninsured % (ACS)</t>
        </is>
      </c>
      <c r="B20" s="8" t="inlineStr">
        <is>
          <t>Secondary exposure</t>
        </is>
      </c>
      <c r="C20" s="8" t="inlineStr">
        <is>
          <t>Diagnosed diabetes among adults (PLACES)</t>
        </is>
      </c>
      <c r="D20" s="8" t="inlineStr">
        <is>
          <t>Primary outcome</t>
        </is>
      </c>
      <c r="E20" s="8" t="n">
        <v>63</v>
      </c>
      <c r="F20" s="9" t="n">
        <v>0.2797007226106197</v>
      </c>
      <c r="G20" s="9" t="n">
        <v>0.2078073462292599</v>
      </c>
      <c r="H20" s="9">
        <f>CORREL(ZCTA_Ranks!E$2:E$69,ZCTA_Ranks!H$2:H$69)</f>
        <v/>
      </c>
      <c r="I20" s="9">
        <f>CORREL(ZCTA_Data!E$2:E$69,ZCTA_Data!H$2:H$69)</f>
        <v/>
      </c>
      <c r="J20" s="8" t="inlineStr">
        <is>
          <t>CORREL( rank(Pct_No_Health_Insurance), rank(PLACES_Pct_Diabetes) )</t>
        </is>
      </c>
      <c r="K20" s="8" t="inlineStr">
        <is>
          <t>COVAR(Pct_No_Health_Insurance,PLACES_Pct_Diabetes) / ( STDEVP(Pct_No_Health_Insurance) * STDEVP(PLACES_Pct_Diabetes) )  =  CORREL(x,y)</t>
        </is>
      </c>
      <c r="L20" s="9" t="n">
        <v>0.1021989797986382</v>
      </c>
      <c r="M20" s="9">
        <f>T.DIST.2T(ABS(I20*SQRT((E20-2)/(1-I20^2))),E20-2)</f>
        <v/>
      </c>
      <c r="N20" s="9" t="n">
        <v>0.02641095856345839</v>
      </c>
      <c r="O20" s="9">
        <f>T.DIST.2T(ABS(H20*SQRT((E20-2)/(1-H20^2))),E20-2)</f>
        <v/>
      </c>
      <c r="P20" s="9" t="n">
        <v>0.1393622451799612</v>
      </c>
      <c r="Q20" s="9" t="n">
        <v>-0.0421266795537252</v>
      </c>
      <c r="R20" s="9" t="n">
        <v>0.4332647083376653</v>
      </c>
      <c r="S20" s="9">
        <f>(EXP(2*(0.5*LN((1+I20)/(1-I20))-1.96*1/SQRT(E20-3)))-1)/(EXP(2*(0.5*LN((1+I20)/(1-I20))-1.96*1/SQRT(E20-3)))+1)</f>
        <v/>
      </c>
      <c r="T20" s="9">
        <f>(EXP(2*(0.5*LN((1+I20)/(1-I20))+1.96*1/SQRT(E20-3)))-1)/(EXP(2*(0.5*LN((1+I20)/(1-I20))+1.96*1/SQRT(E20-3)))+1)</f>
        <v/>
      </c>
    </row>
    <row r="21">
      <c r="A21" s="8" t="inlineStr">
        <is>
          <t>Uninsured % (ACS)</t>
        </is>
      </c>
      <c r="B21" s="8" t="inlineStr">
        <is>
          <t>Secondary exposure</t>
        </is>
      </c>
      <c r="C21" s="8" t="inlineStr">
        <is>
          <t>Obesity (PLACES)</t>
        </is>
      </c>
      <c r="D21" s="8" t="inlineStr">
        <is>
          <t>Secondary outcome</t>
        </is>
      </c>
      <c r="E21" s="8" t="n">
        <v>63</v>
      </c>
      <c r="F21" s="9" t="n">
        <v>0.4024107675361777</v>
      </c>
      <c r="G21" s="9" t="n">
        <v>0.3767409164198577</v>
      </c>
      <c r="H21" s="9">
        <f>CORREL(ZCTA_Ranks!E$2:E$69,ZCTA_Ranks!I$2:I$69)</f>
        <v/>
      </c>
      <c r="I21" s="9">
        <f>CORREL(ZCTA_Data!E$2:E$69,ZCTA_Data!I$2:I$69)</f>
        <v/>
      </c>
      <c r="J21" s="8" t="inlineStr">
        <is>
          <t>CORREL( rank(Pct_No_Health_Insurance), rank(PLACES_Pct_Obesity) )</t>
        </is>
      </c>
      <c r="K21" s="8" t="inlineStr">
        <is>
          <t>COVAR(Pct_No_Health_Insurance,PLACES_Pct_Obesity) / ( STDEVP(Pct_No_Health_Insurance) * STDEVP(PLACES_Pct_Obesity) )  =  CORREL(x,y)</t>
        </is>
      </c>
      <c r="L21" s="9" t="n">
        <v>0.002339235551113763</v>
      </c>
      <c r="M21" s="9">
        <f>T.DIST.2T(ABS(I21*SQRT((E21-2)/(1-I21^2))),E21-2)</f>
        <v/>
      </c>
      <c r="N21" s="9" t="n">
        <v>0.001077435823645558</v>
      </c>
      <c r="O21" s="9">
        <f>T.DIST.2T(ABS(H21*SQRT((E21-2)/(1-H21^2))),E21-2)</f>
        <v/>
      </c>
      <c r="P21" s="9" t="n">
        <v>0.00554029472632207</v>
      </c>
      <c r="Q21" s="9" t="n">
        <v>0.1422543648432208</v>
      </c>
      <c r="R21" s="9" t="n">
        <v>0.5711892978117421</v>
      </c>
      <c r="S21" s="9">
        <f>(EXP(2*(0.5*LN((1+I21)/(1-I21))-1.96*1/SQRT(E21-3)))-1)/(EXP(2*(0.5*LN((1+I21)/(1-I21))-1.96*1/SQRT(E21-3)))+1)</f>
        <v/>
      </c>
      <c r="T21" s="9">
        <f>(EXP(2*(0.5*LN((1+I21)/(1-I21))+1.96*1/SQRT(E21-3)))-1)/(EXP(2*(0.5*LN((1+I21)/(1-I21))+1.96*1/SQRT(E21-3)))+1)</f>
        <v/>
      </c>
    </row>
    <row r="22">
      <c r="A22" s="8" t="inlineStr">
        <is>
          <t>Uninsured % (ACS)</t>
        </is>
      </c>
      <c r="B22" s="8" t="inlineStr">
        <is>
          <t>Secondary exposure</t>
        </is>
      </c>
      <c r="C22" s="8" t="inlineStr">
        <is>
          <t>Fair/poor self-rated health (PLACES)</t>
        </is>
      </c>
      <c r="D22" s="8" t="inlineStr">
        <is>
          <t>Secondary outcome</t>
        </is>
      </c>
      <c r="E22" s="8" t="n">
        <v>63</v>
      </c>
      <c r="F22" s="9" t="n">
        <v>0.466937190013737</v>
      </c>
      <c r="G22" s="9" t="n">
        <v>0.4182897413939617</v>
      </c>
      <c r="H22" s="9">
        <f>CORREL(ZCTA_Ranks!E$2:E$69,ZCTA_Ranks!J$2:J$69)</f>
        <v/>
      </c>
      <c r="I22" s="9">
        <f>CORREL(ZCTA_Data!E$2:E$69,ZCTA_Data!J$2:J$69)</f>
        <v/>
      </c>
      <c r="J22" s="8" t="inlineStr">
        <is>
          <t>CORREL( rank(Pct_No_Health_Insurance), rank(PLACES_Pct_Fair_Poor_Health) )</t>
        </is>
      </c>
      <c r="K22" s="8" t="inlineStr">
        <is>
          <t>COVAR(Pct_No_Health_Insurance,PLACES_Pct_Fair_Poor_Health) / ( STDEVP(Pct_No_Health_Insurance) * STDEVP(PLACES_Pct_Fair_Poor_Health) )  =  CORREL(x,y)</t>
        </is>
      </c>
      <c r="L22" s="9" t="n">
        <v>0.0006461920709263673</v>
      </c>
      <c r="M22" s="9">
        <f>T.DIST.2T(ABS(I22*SQRT((E22-2)/(1-I22^2))),E22-2)</f>
        <v/>
      </c>
      <c r="N22" s="9" t="n">
        <v>0.0001144282705293758</v>
      </c>
      <c r="O22" s="9">
        <f>T.DIST.2T(ABS(H22*SQRT((E22-2)/(1-H22^2))),E22-2)</f>
        <v/>
      </c>
      <c r="P22" s="9" t="n">
        <v>0.001710508423040384</v>
      </c>
      <c r="Q22" s="9" t="n">
        <v>0.1902408034270827</v>
      </c>
      <c r="R22" s="9" t="n">
        <v>0.6035086077380993</v>
      </c>
      <c r="S22" s="9">
        <f>(EXP(2*(0.5*LN((1+I22)/(1-I22))-1.96*1/SQRT(E22-3)))-1)/(EXP(2*(0.5*LN((1+I22)/(1-I22))-1.96*1/SQRT(E22-3)))+1)</f>
        <v/>
      </c>
      <c r="T22" s="9">
        <f>(EXP(2*(0.5*LN((1+I22)/(1-I22))+1.96*1/SQRT(E22-3)))-1)/(EXP(2*(0.5*LN((1+I22)/(1-I22))+1.96*1/SQRT(E22-3)))+1)</f>
        <v/>
      </c>
    </row>
    <row r="23">
      <c r="A23" s="8" t="inlineStr">
        <is>
          <t>Uninsured % (ACS)</t>
        </is>
      </c>
      <c r="B23" s="8" t="inlineStr">
        <is>
          <t>Secondary exposure</t>
        </is>
      </c>
      <c r="C23" s="8" t="inlineStr">
        <is>
          <t>Coronary heart disease (PLACES)</t>
        </is>
      </c>
      <c r="D23" s="8" t="inlineStr">
        <is>
          <t>Secondary outcome</t>
        </is>
      </c>
      <c r="E23" s="8" t="n">
        <v>63</v>
      </c>
      <c r="F23" s="9" t="n">
        <v>0.003291291634165724</v>
      </c>
      <c r="G23" s="9" t="n">
        <v>0.03127660516904453</v>
      </c>
      <c r="H23" s="9">
        <f>CORREL(ZCTA_Ranks!E$2:E$69,ZCTA_Ranks!K$2:K$69)</f>
        <v/>
      </c>
      <c r="I23" s="9">
        <f>CORREL(ZCTA_Data!E$2:E$69,ZCTA_Data!K$2:K$69)</f>
        <v/>
      </c>
      <c r="J23" s="8" t="inlineStr">
        <is>
          <t>CORREL( rank(Pct_No_Health_Insurance), rank(PLACES_Pct_Coronary_Heart_Disease) )</t>
        </is>
      </c>
      <c r="K23" s="8" t="inlineStr">
        <is>
          <t>COVAR(Pct_No_Health_Insurance,PLACES_Pct_Coronary_Heart_Disease) / ( STDEVP(Pct_No_Health_Insurance) * STDEVP(PLACES_Pct_Coronary_Heart_Disease) )  =  CORREL(x,y)</t>
        </is>
      </c>
      <c r="L23" s="9" t="n">
        <v>0.8077430594347911</v>
      </c>
      <c r="M23" s="9">
        <f>T.DIST.2T(ABS(I23*SQRT((E23-2)/(1-I23^2))),E23-2)</f>
        <v/>
      </c>
      <c r="N23" s="9" t="n">
        <v>0.9795757898833377</v>
      </c>
      <c r="O23" s="9">
        <f>T.DIST.2T(ABS(H23*SQRT((E23-2)/(1-H23^2))),E23-2)</f>
        <v/>
      </c>
      <c r="P23" s="9" t="n">
        <v>0.8654389922515617</v>
      </c>
      <c r="Q23" s="9" t="n">
        <v>-0.2181791522682607</v>
      </c>
      <c r="R23" s="9" t="n">
        <v>0.276895902679039</v>
      </c>
      <c r="S23" s="9">
        <f>(EXP(2*(0.5*LN((1+I23)/(1-I23))-1.96*1/SQRT(E23-3)))-1)/(EXP(2*(0.5*LN((1+I23)/(1-I23))-1.96*1/SQRT(E23-3)))+1)</f>
        <v/>
      </c>
      <c r="T23" s="9">
        <f>(EXP(2*(0.5*LN((1+I23)/(1-I23))+1.96*1/SQRT(E23-3)))-1)/(EXP(2*(0.5*LN((1+I23)/(1-I23))+1.96*1/SQRT(E23-3)))+1)</f>
        <v/>
      </c>
    </row>
    <row r="24">
      <c r="A24" s="8" t="inlineStr">
        <is>
          <t>Uninsured % (ACS)</t>
        </is>
      </c>
      <c r="B24" s="8" t="inlineStr">
        <is>
          <t>Secondary exposure</t>
        </is>
      </c>
      <c r="C24" s="8" t="inlineStr">
        <is>
          <t>COPD (PLACES)</t>
        </is>
      </c>
      <c r="D24" s="8" t="inlineStr">
        <is>
          <t>Secondary outcome</t>
        </is>
      </c>
      <c r="E24" s="8" t="n">
        <v>63</v>
      </c>
      <c r="F24" s="9" t="n">
        <v>0.3077745277294874</v>
      </c>
      <c r="G24" s="9" t="n">
        <v>0.3002316231424885</v>
      </c>
      <c r="H24" s="9">
        <f>CORREL(ZCTA_Ranks!E$2:E$69,ZCTA_Ranks!L$2:L$69)</f>
        <v/>
      </c>
      <c r="I24" s="9">
        <f>CORREL(ZCTA_Data!E$2:E$69,ZCTA_Data!L$2:L$69)</f>
        <v/>
      </c>
      <c r="J24" s="8" t="inlineStr">
        <is>
          <t>CORREL( rank(Pct_No_Health_Insurance), rank(PLACES_Pct_COPD) )</t>
        </is>
      </c>
      <c r="K24" s="8" t="inlineStr">
        <is>
          <t>COVAR(Pct_No_Health_Insurance,PLACES_Pct_COPD) / ( STDEVP(Pct_No_Health_Insurance) * STDEVP(PLACES_Pct_COPD) )  =  CORREL(x,y)</t>
        </is>
      </c>
      <c r="L24" s="9" t="n">
        <v>0.01681475291057021</v>
      </c>
      <c r="M24" s="9">
        <f>T.DIST.2T(ABS(I24*SQRT((E24-2)/(1-I24^2))),E24-2)</f>
        <v/>
      </c>
      <c r="N24" s="9" t="n">
        <v>0.01413360779579093</v>
      </c>
      <c r="O24" s="9">
        <f>T.DIST.2T(ABS(H24*SQRT((E24-2)/(1-H24^2))),E24-2)</f>
        <v/>
      </c>
      <c r="P24" s="9" t="n">
        <v>0.02910245696060228</v>
      </c>
      <c r="Q24" s="9" t="n">
        <v>0.05668306789384845</v>
      </c>
      <c r="R24" s="9" t="n">
        <v>0.5100552296534856</v>
      </c>
      <c r="S24" s="9">
        <f>(EXP(2*(0.5*LN((1+I24)/(1-I24))-1.96*1/SQRT(E24-3)))-1)/(EXP(2*(0.5*LN((1+I24)/(1-I24))-1.96*1/SQRT(E24-3)))+1)</f>
        <v/>
      </c>
      <c r="T24" s="9">
        <f>(EXP(2*(0.5*LN((1+I24)/(1-I24))+1.96*1/SQRT(E24-3)))-1)/(EXP(2*(0.5*LN((1+I24)/(1-I24))+1.96*1/SQRT(E24-3)))+1)</f>
        <v/>
      </c>
    </row>
    <row r="25">
      <c r="A25" s="8" t="inlineStr">
        <is>
          <t>Uninsured % (ACS)</t>
        </is>
      </c>
      <c r="B25" s="8" t="inlineStr">
        <is>
          <t>Secondary exposure</t>
        </is>
      </c>
      <c r="C25" s="8" t="inlineStr">
        <is>
          <t>Stroke (PLACES)</t>
        </is>
      </c>
      <c r="D25" s="8" t="inlineStr">
        <is>
          <t>Secondary outcome</t>
        </is>
      </c>
      <c r="E25" s="8" t="n">
        <v>63</v>
      </c>
      <c r="F25" s="9" t="n">
        <v>0.1919467150161447</v>
      </c>
      <c r="G25" s="9" t="n">
        <v>0.1667611548537698</v>
      </c>
      <c r="H25" s="9">
        <f>CORREL(ZCTA_Ranks!E$2:E$69,ZCTA_Ranks!M$2:M$69)</f>
        <v/>
      </c>
      <c r="I25" s="9">
        <f>CORREL(ZCTA_Data!E$2:E$69,ZCTA_Data!M$2:M$69)</f>
        <v/>
      </c>
      <c r="J25" s="8" t="inlineStr">
        <is>
          <t>CORREL( rank(Pct_No_Health_Insurance), rank(PLACES_Pct_Stroke) )</t>
        </is>
      </c>
      <c r="K25" s="8" t="inlineStr">
        <is>
          <t>COVAR(Pct_No_Health_Insurance,PLACES_Pct_Stroke) / ( STDEVP(Pct_No_Health_Insurance) * STDEVP(PLACES_Pct_Stroke) )  =  CORREL(x,y)</t>
        </is>
      </c>
      <c r="L25" s="9" t="n">
        <v>0.1914544204079267</v>
      </c>
      <c r="M25" s="9">
        <f>T.DIST.2T(ABS(I25*SQRT((E25-2)/(1-I25^2))),E25-2)</f>
        <v/>
      </c>
      <c r="N25" s="9" t="n">
        <v>0.1317918141820377</v>
      </c>
      <c r="O25" s="9">
        <f>T.DIST.2T(ABS(H25*SQRT((E25-2)/(1-H25^2))),E25-2)</f>
        <v/>
      </c>
      <c r="P25" s="9" t="n">
        <v>0.2533955564222559</v>
      </c>
      <c r="Q25" s="9" t="n">
        <v>-0.08449500746753306</v>
      </c>
      <c r="R25" s="9" t="n">
        <v>0.3980785443886938</v>
      </c>
      <c r="S25" s="9">
        <f>(EXP(2*(0.5*LN((1+I25)/(1-I25))-1.96*1/SQRT(E25-3)))-1)/(EXP(2*(0.5*LN((1+I25)/(1-I25))-1.96*1/SQRT(E25-3)))+1)</f>
        <v/>
      </c>
      <c r="T25" s="9">
        <f>(EXP(2*(0.5*LN((1+I25)/(1-I25))+1.96*1/SQRT(E25-3)))-1)/(EXP(2*(0.5*LN((1+I25)/(1-I25))+1.96*1/SQRT(E25-3)))+1)</f>
        <v/>
      </c>
    </row>
    <row r="26">
      <c r="A26" s="8" t="inlineStr">
        <is>
          <t>Uninsured % (ACS)</t>
        </is>
      </c>
      <c r="B26" s="8" t="inlineStr">
        <is>
          <t>Secondary exposure</t>
        </is>
      </c>
      <c r="C26" s="8" t="inlineStr">
        <is>
          <t>Physical inactivity (PLACES)</t>
        </is>
      </c>
      <c r="D26" s="8" t="inlineStr">
        <is>
          <t>Secondary outcome</t>
        </is>
      </c>
      <c r="E26" s="8" t="n">
        <v>63</v>
      </c>
      <c r="F26" s="9" t="n">
        <v>0.457477973956196</v>
      </c>
      <c r="G26" s="9" t="n">
        <v>0.4400287385575755</v>
      </c>
      <c r="H26" s="9">
        <f>CORREL(ZCTA_Ranks!E$2:E$69,ZCTA_Ranks!N$2:N$69)</f>
        <v/>
      </c>
      <c r="I26" s="9">
        <f>CORREL(ZCTA_Data!E$2:E$69,ZCTA_Data!N$2:N$69)</f>
        <v/>
      </c>
      <c r="J26" s="8" t="inlineStr">
        <is>
          <t>CORREL( rank(Pct_No_Health_Insurance), rank(PLACES_Pct_Physical_Inactivity) )</t>
        </is>
      </c>
      <c r="K26" s="8" t="inlineStr">
        <is>
          <t>COVAR(Pct_No_Health_Insurance,PLACES_Pct_Physical_Inactivity) / ( STDEVP(Pct_No_Health_Insurance) * STDEVP(PLACES_Pct_Physical_Inactivity) )  =  CORREL(x,y)</t>
        </is>
      </c>
      <c r="L26" s="9" t="n">
        <v>0.0003077902279579424</v>
      </c>
      <c r="M26" s="9">
        <f>T.DIST.2T(ABS(I26*SQRT((E26-2)/(1-I26^2))),E26-2)</f>
        <v/>
      </c>
      <c r="N26" s="9" t="n">
        <v>0.0001635571756220674</v>
      </c>
      <c r="O26" s="9">
        <f>T.DIST.2T(ABS(H26*SQRT((E26-2)/(1-H26^2))),E26-2)</f>
        <v/>
      </c>
      <c r="P26" s="9" t="n">
        <v>0.0009893257327219576</v>
      </c>
      <c r="Q26" s="9" t="n">
        <v>0.2157899298141087</v>
      </c>
      <c r="R26" s="9" t="n">
        <v>0.620179487396005</v>
      </c>
      <c r="S26" s="9">
        <f>(EXP(2*(0.5*LN((1+I26)/(1-I26))-1.96*1/SQRT(E26-3)))-1)/(EXP(2*(0.5*LN((1+I26)/(1-I26))-1.96*1/SQRT(E26-3)))+1)</f>
        <v/>
      </c>
      <c r="T26" s="9">
        <f>(EXP(2*(0.5*LN((1+I26)/(1-I26))+1.96*1/SQRT(E26-3)))-1)/(EXP(2*(0.5*LN((1+I26)/(1-I26))+1.96*1/SQRT(E26-3)))+1)</f>
        <v/>
      </c>
    </row>
    <row r="27">
      <c r="A27" s="8" t="inlineStr">
        <is>
          <t>Uninsured % (ACS)</t>
        </is>
      </c>
      <c r="B27" s="8" t="inlineStr">
        <is>
          <t>Secondary exposure</t>
        </is>
      </c>
      <c r="C27" s="8" t="inlineStr">
        <is>
          <t>Frequent mental distress (PLACES)</t>
        </is>
      </c>
      <c r="D27" s="8" t="inlineStr">
        <is>
          <t>Secondary outcome</t>
        </is>
      </c>
      <c r="E27" s="8" t="n">
        <v>63</v>
      </c>
      <c r="F27" s="9" t="n">
        <v>0.394473605285329</v>
      </c>
      <c r="G27" s="9" t="n">
        <v>0.3230716401377397</v>
      </c>
      <c r="H27" s="9">
        <f>CORREL(ZCTA_Ranks!E$2:E$69,ZCTA_Ranks!O$2:O$69)</f>
        <v/>
      </c>
      <c r="I27" s="9">
        <f>CORREL(ZCTA_Data!E$2:E$69,ZCTA_Data!O$2:O$69)</f>
        <v/>
      </c>
      <c r="J27" s="8" t="inlineStr">
        <is>
          <t>CORREL( rank(Pct_No_Health_Insurance), rank(PLACES_Pct_Frequent_Mental_Distress) )</t>
        </is>
      </c>
      <c r="K27" s="8" t="inlineStr">
        <is>
          <t>COVAR(Pct_No_Health_Insurance,PLACES_Pct_Frequent_Mental_Distress) / ( STDEVP(Pct_No_Health_Insurance) * STDEVP(PLACES_Pct_Frequent_Mental_Distress) )  =  CORREL(x,y)</t>
        </is>
      </c>
      <c r="L27" s="9" t="n">
        <v>0.00980558640820843</v>
      </c>
      <c r="M27" s="9">
        <f>T.DIST.2T(ABS(I27*SQRT((E27-2)/(1-I27^2))),E27-2)</f>
        <v/>
      </c>
      <c r="N27" s="9" t="n">
        <v>0.001378365985558345</v>
      </c>
      <c r="O27" s="9">
        <f>T.DIST.2T(ABS(H27*SQRT((E27-2)/(1-H27^2))),E27-2)</f>
        <v/>
      </c>
      <c r="P27" s="9" t="n">
        <v>0.01918484297258171</v>
      </c>
      <c r="Q27" s="9" t="n">
        <v>0.08185908803575859</v>
      </c>
      <c r="R27" s="9" t="n">
        <v>0.5285300342137323</v>
      </c>
      <c r="S27" s="9">
        <f>(EXP(2*(0.5*LN((1+I27)/(1-I27))-1.96*1/SQRT(E27-3)))-1)/(EXP(2*(0.5*LN((1+I27)/(1-I27))-1.96*1/SQRT(E27-3)))+1)</f>
        <v/>
      </c>
      <c r="T27" s="9">
        <f>(EXP(2*(0.5*LN((1+I27)/(1-I27))+1.96*1/SQRT(E27-3)))-1)/(EXP(2*(0.5*LN((1+I27)/(1-I27))+1.96*1/SQRT(E27-3)))+1)</f>
        <v/>
      </c>
    </row>
    <row r="28">
      <c r="A28" s="8" t="inlineStr">
        <is>
          <t>Uninsured % (ACS)</t>
        </is>
      </c>
      <c r="B28" s="8" t="inlineStr">
        <is>
          <t>Secondary exposure</t>
        </is>
      </c>
      <c r="C28" s="8" t="inlineStr">
        <is>
          <t>Current smoking (PLACES)</t>
        </is>
      </c>
      <c r="D28" s="8" t="inlineStr">
        <is>
          <t>Secondary outcome</t>
        </is>
      </c>
      <c r="E28" s="8" t="n">
        <v>63</v>
      </c>
      <c r="F28" s="9" t="n">
        <v>0.5186821630967247</v>
      </c>
      <c r="G28" s="9" t="n">
        <v>0.4610914020754925</v>
      </c>
      <c r="H28" s="9">
        <f>CORREL(ZCTA_Ranks!E$2:E$69,ZCTA_Ranks!P$2:P$69)</f>
        <v/>
      </c>
      <c r="I28" s="9">
        <f>CORREL(ZCTA_Data!E$2:E$69,ZCTA_Data!P$2:P$69)</f>
        <v/>
      </c>
      <c r="J28" s="8" t="inlineStr">
        <is>
          <t>CORREL( rank(Pct_No_Health_Insurance), rank(PLACES_Pct_Current_Smoking) )</t>
        </is>
      </c>
      <c r="K28" s="8" t="inlineStr">
        <is>
          <t>COVAR(Pct_No_Health_Insurance,PLACES_Pct_Current_Smoking) / ( STDEVP(Pct_No_Health_Insurance) * STDEVP(PLACES_Pct_Current_Smoking) )  =  CORREL(x,y)</t>
        </is>
      </c>
      <c r="L28" s="9" t="n">
        <v>0.000142869936337018</v>
      </c>
      <c r="M28" s="9">
        <f>T.DIST.2T(ABS(I28*SQRT((E28-2)/(1-I28^2))),E28-2)</f>
        <v/>
      </c>
      <c r="N28" s="9" t="n">
        <v>1.331736260002576e-05</v>
      </c>
      <c r="O28" s="9">
        <f>T.DIST.2T(ABS(H28*SQRT((E28-2)/(1-H28^2))),E28-2)</f>
        <v/>
      </c>
      <c r="P28" s="9" t="n">
        <v>0.0004945497796281391</v>
      </c>
      <c r="Q28" s="9" t="n">
        <v>0.2408405544669644</v>
      </c>
      <c r="R28" s="9" t="n">
        <v>0.6361779822326249</v>
      </c>
      <c r="S28" s="9">
        <f>(EXP(2*(0.5*LN((1+I28)/(1-I28))-1.96*1/SQRT(E28-3)))-1)/(EXP(2*(0.5*LN((1+I28)/(1-I28))-1.96*1/SQRT(E28-3)))+1)</f>
        <v/>
      </c>
      <c r="T28" s="9">
        <f>(EXP(2*(0.5*LN((1+I28)/(1-I28))+1.96*1/SQRT(E28-3)))-1)/(EXP(2*(0.5*LN((1+I28)/(1-I28))+1.96*1/SQRT(E28-3)))+1)</f>
        <v/>
      </c>
    </row>
    <row r="29">
      <c r="A29" s="8" t="inlineStr">
        <is>
          <t>Age 65+ % (ACS)</t>
        </is>
      </c>
      <c r="B29" s="8" t="inlineStr">
        <is>
          <t>Secondary exposure</t>
        </is>
      </c>
      <c r="C29" s="8" t="inlineStr">
        <is>
          <t>Diagnosed diabetes among adults (PLACES)</t>
        </is>
      </c>
      <c r="D29" s="8" t="inlineStr">
        <is>
          <t>Primary outcome</t>
        </is>
      </c>
      <c r="E29" s="8" t="n">
        <v>64</v>
      </c>
      <c r="F29" s="9" t="n">
        <v>-0.06174551037220728</v>
      </c>
      <c r="G29" s="9" t="n">
        <v>0.1063413123063624</v>
      </c>
      <c r="H29" s="9">
        <f>CORREL(ZCTA_Ranks!F$2:F$69,ZCTA_Ranks!H$2:H$69)</f>
        <v/>
      </c>
      <c r="I29" s="9">
        <f>CORREL(ZCTA_Data!F$2:F$69,ZCTA_Data!H$2:H$69)</f>
        <v/>
      </c>
      <c r="J29" s="8" t="inlineStr">
        <is>
          <t>CORREL( rank(Pct_Age_65_Plus), rank(PLACES_Pct_Diabetes) )</t>
        </is>
      </c>
      <c r="K29" s="8" t="inlineStr">
        <is>
          <t>COVAR(Pct_Age_65_Plus,PLACES_Pct_Diabetes) / ( STDEVP(Pct_Age_65_Plus) * STDEVP(PLACES_Pct_Diabetes) )  =  CORREL(x,y)</t>
        </is>
      </c>
      <c r="L29" s="9" t="n">
        <v>0.4029645445735497</v>
      </c>
      <c r="M29" s="9">
        <f>T.DIST.2T(ABS(I29*SQRT((E29-2)/(1-I29^2))),E29-2)</f>
        <v/>
      </c>
      <c r="N29" s="9" t="n">
        <v>0.6278952973411757</v>
      </c>
      <c r="O29" s="9">
        <f>T.DIST.2T(ABS(H29*SQRT((E29-2)/(1-H29^2))),E29-2)</f>
        <v/>
      </c>
      <c r="P29" s="9" t="n">
        <v>0.4771948554160457</v>
      </c>
      <c r="Q29" s="9" t="n">
        <v>-0.1432114724484783</v>
      </c>
      <c r="R29" s="9" t="n">
        <v>0.3431799793428379</v>
      </c>
      <c r="S29" s="9">
        <f>(EXP(2*(0.5*LN((1+I29)/(1-I29))-1.96*1/SQRT(E29-3)))-1)/(EXP(2*(0.5*LN((1+I29)/(1-I29))-1.96*1/SQRT(E29-3)))+1)</f>
        <v/>
      </c>
      <c r="T29" s="9">
        <f>(EXP(2*(0.5*LN((1+I29)/(1-I29))+1.96*1/SQRT(E29-3)))-1)/(EXP(2*(0.5*LN((1+I29)/(1-I29))+1.96*1/SQRT(E29-3)))+1)</f>
        <v/>
      </c>
    </row>
    <row r="30">
      <c r="A30" s="8" t="inlineStr">
        <is>
          <t>Age 65+ % (ACS)</t>
        </is>
      </c>
      <c r="B30" s="8" t="inlineStr">
        <is>
          <t>Secondary exposure</t>
        </is>
      </c>
      <c r="C30" s="8" t="inlineStr">
        <is>
          <t>Obesity (PLACES)</t>
        </is>
      </c>
      <c r="D30" s="8" t="inlineStr">
        <is>
          <t>Secondary outcome</t>
        </is>
      </c>
      <c r="E30" s="8" t="n">
        <v>64</v>
      </c>
      <c r="F30" s="9" t="n">
        <v>-0.4654392678623411</v>
      </c>
      <c r="G30" s="9" t="n">
        <v>-0.493966137580687</v>
      </c>
      <c r="H30" s="9">
        <f>CORREL(ZCTA_Ranks!F$2:F$69,ZCTA_Ranks!I$2:I$69)</f>
        <v/>
      </c>
      <c r="I30" s="9">
        <f>CORREL(ZCTA_Data!F$2:F$69,ZCTA_Data!I$2:I$69)</f>
        <v/>
      </c>
      <c r="J30" s="8" t="inlineStr">
        <is>
          <t>CORREL( rank(Pct_Age_65_Plus), rank(PLACES_Pct_Obesity) )</t>
        </is>
      </c>
      <c r="K30" s="8" t="inlineStr">
        <is>
          <t>COVAR(Pct_Age_65_Plus,PLACES_Pct_Obesity) / ( STDEVP(Pct_Age_65_Plus) * STDEVP(PLACES_Pct_Obesity) )  =  CORREL(x,y)</t>
        </is>
      </c>
      <c r="L30" s="9" t="n">
        <v>3.352982746883686e-05</v>
      </c>
      <c r="M30" s="9">
        <f>T.DIST.2T(ABS(I30*SQRT((E30-2)/(1-I30^2))),E30-2)</f>
        <v/>
      </c>
      <c r="N30" s="9" t="n">
        <v>0.0001064621798606069</v>
      </c>
      <c r="O30" s="9">
        <f>T.DIST.2T(ABS(H30*SQRT((E30-2)/(1-H30^2))),E30-2)</f>
        <v/>
      </c>
      <c r="P30" s="9" t="n">
        <v>0.0001371674760088781</v>
      </c>
      <c r="Q30" s="9" t="n">
        <v>-0.6596765312689699</v>
      </c>
      <c r="R30" s="9" t="n">
        <v>-0.2824526713864948</v>
      </c>
      <c r="S30" s="9">
        <f>(EXP(2*(0.5*LN((1+I30)/(1-I30))-1.96*1/SQRT(E30-3)))-1)/(EXP(2*(0.5*LN((1+I30)/(1-I30))-1.96*1/SQRT(E30-3)))+1)</f>
        <v/>
      </c>
      <c r="T30" s="9">
        <f>(EXP(2*(0.5*LN((1+I30)/(1-I30))+1.96*1/SQRT(E30-3)))-1)/(EXP(2*(0.5*LN((1+I30)/(1-I30))+1.96*1/SQRT(E30-3)))+1)</f>
        <v/>
      </c>
    </row>
    <row r="31">
      <c r="A31" s="8" t="inlineStr">
        <is>
          <t>Age 65+ % (ACS)</t>
        </is>
      </c>
      <c r="B31" s="8" t="inlineStr">
        <is>
          <t>Secondary exposure</t>
        </is>
      </c>
      <c r="C31" s="8" t="inlineStr">
        <is>
          <t>Fair/poor self-rated health (PLACES)</t>
        </is>
      </c>
      <c r="D31" s="8" t="inlineStr">
        <is>
          <t>Secondary outcome</t>
        </is>
      </c>
      <c r="E31" s="8" t="n">
        <v>64</v>
      </c>
      <c r="F31" s="9" t="n">
        <v>-0.3901559396442244</v>
      </c>
      <c r="G31" s="9" t="n">
        <v>-0.4289701157109498</v>
      </c>
      <c r="H31" s="9">
        <f>CORREL(ZCTA_Ranks!F$2:F$69,ZCTA_Ranks!J$2:J$69)</f>
        <v/>
      </c>
      <c r="I31" s="9">
        <f>CORREL(ZCTA_Data!F$2:F$69,ZCTA_Data!J$2:J$69)</f>
        <v/>
      </c>
      <c r="J31" s="8" t="inlineStr">
        <is>
          <t>CORREL( rank(Pct_Age_65_Plus), rank(PLACES_Pct_Fair_Poor_Health) )</t>
        </is>
      </c>
      <c r="K31" s="8" t="inlineStr">
        <is>
          <t>COVAR(Pct_Age_65_Plus,PLACES_Pct_Fair_Poor_Health) / ( STDEVP(Pct_Age_65_Plus) * STDEVP(PLACES_Pct_Fair_Poor_Health) )  =  CORREL(x,y)</t>
        </is>
      </c>
      <c r="L31" s="9" t="n">
        <v>0.0004050483945761219</v>
      </c>
      <c r="M31" s="9">
        <f>T.DIST.2T(ABS(I31*SQRT((E31-2)/(1-I31^2))),E31-2)</f>
        <v/>
      </c>
      <c r="N31" s="9" t="n">
        <v>0.001437279021025112</v>
      </c>
      <c r="O31" s="9">
        <f>T.DIST.2T(ABS(H31*SQRT((E31-2)/(1-H31^2))),E31-2)</f>
        <v/>
      </c>
      <c r="P31" s="9" t="n">
        <v>0.001215145183728366</v>
      </c>
      <c r="Q31" s="9" t="n">
        <v>-0.6104143562696057</v>
      </c>
      <c r="R31" s="9" t="n">
        <v>-0.2047507417069706</v>
      </c>
      <c r="S31" s="9">
        <f>(EXP(2*(0.5*LN((1+I31)/(1-I31))-1.96*1/SQRT(E31-3)))-1)/(EXP(2*(0.5*LN((1+I31)/(1-I31))-1.96*1/SQRT(E31-3)))+1)</f>
        <v/>
      </c>
      <c r="T31" s="9">
        <f>(EXP(2*(0.5*LN((1+I31)/(1-I31))+1.96*1/SQRT(E31-3)))-1)/(EXP(2*(0.5*LN((1+I31)/(1-I31))+1.96*1/SQRT(E31-3)))+1)</f>
        <v/>
      </c>
    </row>
    <row r="32">
      <c r="A32" s="8" t="inlineStr">
        <is>
          <t>Age 65+ % (ACS)</t>
        </is>
      </c>
      <c r="B32" s="8" t="inlineStr">
        <is>
          <t>Secondary exposure</t>
        </is>
      </c>
      <c r="C32" s="8" t="inlineStr">
        <is>
          <t>Coronary heart disease (PLACES)</t>
        </is>
      </c>
      <c r="D32" s="8" t="inlineStr">
        <is>
          <t>Secondary outcome</t>
        </is>
      </c>
      <c r="E32" s="8" t="n">
        <v>64</v>
      </c>
      <c r="F32" s="9" t="n">
        <v>0.4999771781457978</v>
      </c>
      <c r="G32" s="9" t="n">
        <v>0.5458780631300851</v>
      </c>
      <c r="H32" s="9">
        <f>CORREL(ZCTA_Ranks!F$2:F$69,ZCTA_Ranks!K$2:K$69)</f>
        <v/>
      </c>
      <c r="I32" s="9">
        <f>CORREL(ZCTA_Data!F$2:F$69,ZCTA_Data!K$2:K$69)</f>
        <v/>
      </c>
      <c r="J32" s="8" t="inlineStr">
        <is>
          <t>CORREL( rank(Pct_Age_65_Plus), rank(PLACES_Pct_Coronary_Heart_Disease) )</t>
        </is>
      </c>
      <c r="K32" s="8" t="inlineStr">
        <is>
          <t>COVAR(Pct_Age_65_Plus,PLACES_Pct_Coronary_Heart_Disease) / ( STDEVP(Pct_Age_65_Plus) * STDEVP(PLACES_Pct_Coronary_Heart_Disease) )  =  CORREL(x,y)</t>
        </is>
      </c>
      <c r="L32" s="9" t="n">
        <v>3.082560405761527e-06</v>
      </c>
      <c r="M32" s="9">
        <f>T.DIST.2T(ABS(I32*SQRT((E32-2)/(1-I32^2))),E32-2)</f>
        <v/>
      </c>
      <c r="N32" s="9" t="n">
        <v>2.593612114260638e-05</v>
      </c>
      <c r="O32" s="9">
        <f>T.DIST.2T(ABS(H32*SQRT((E32-2)/(1-H32^2))),E32-2)</f>
        <v/>
      </c>
      <c r="P32" s="9" t="n">
        <v>1.733940228240859e-05</v>
      </c>
      <c r="Q32" s="9" t="n">
        <v>0.3465725409827111</v>
      </c>
      <c r="R32" s="9" t="n">
        <v>0.6980250249716476</v>
      </c>
      <c r="S32" s="9">
        <f>(EXP(2*(0.5*LN((1+I32)/(1-I32))-1.96*1/SQRT(E32-3)))-1)/(EXP(2*(0.5*LN((1+I32)/(1-I32))-1.96*1/SQRT(E32-3)))+1)</f>
        <v/>
      </c>
      <c r="T32" s="9">
        <f>(EXP(2*(0.5*LN((1+I32)/(1-I32))+1.96*1/SQRT(E32-3)))-1)/(EXP(2*(0.5*LN((1+I32)/(1-I32))+1.96*1/SQRT(E32-3)))+1)</f>
        <v/>
      </c>
    </row>
    <row r="33">
      <c r="A33" s="8" t="inlineStr">
        <is>
          <t>Age 65+ % (ACS)</t>
        </is>
      </c>
      <c r="B33" s="8" t="inlineStr">
        <is>
          <t>Secondary exposure</t>
        </is>
      </c>
      <c r="C33" s="8" t="inlineStr">
        <is>
          <t>COPD (PLACES)</t>
        </is>
      </c>
      <c r="D33" s="8" t="inlineStr">
        <is>
          <t>Secondary outcome</t>
        </is>
      </c>
      <c r="E33" s="8" t="n">
        <v>64</v>
      </c>
      <c r="F33" s="9" t="n">
        <v>0.03227284370141983</v>
      </c>
      <c r="G33" s="9" t="n">
        <v>0.07806076405025916</v>
      </c>
      <c r="H33" s="9">
        <f>CORREL(ZCTA_Ranks!F$2:F$69,ZCTA_Ranks!L$2:L$69)</f>
        <v/>
      </c>
      <c r="I33" s="9">
        <f>CORREL(ZCTA_Data!F$2:F$69,ZCTA_Data!L$2:L$69)</f>
        <v/>
      </c>
      <c r="J33" s="8" t="inlineStr">
        <is>
          <t>CORREL( rank(Pct_Age_65_Plus), rank(PLACES_Pct_COPD) )</t>
        </is>
      </c>
      <c r="K33" s="8" t="inlineStr">
        <is>
          <t>COVAR(Pct_Age_65_Plus,PLACES_Pct_COPD) / ( STDEVP(Pct_Age_65_Plus) * STDEVP(PLACES_Pct_COPD) )  =  CORREL(x,y)</t>
        </is>
      </c>
      <c r="L33" s="9" t="n">
        <v>0.5398005209456815</v>
      </c>
      <c r="M33" s="9">
        <f>T.DIST.2T(ABS(I33*SQRT((E33-2)/(1-I33^2))),E33-2)</f>
        <v/>
      </c>
      <c r="N33" s="9" t="n">
        <v>0.8001445001485892</v>
      </c>
      <c r="O33" s="9">
        <f>T.DIST.2T(ABS(H33*SQRT((E33-2)/(1-H33^2))),E33-2)</f>
        <v/>
      </c>
      <c r="P33" s="9" t="n">
        <v>0.6072840764559978</v>
      </c>
      <c r="Q33" s="9" t="n">
        <v>-0.171030257310148</v>
      </c>
      <c r="R33" s="9" t="n">
        <v>0.317772606536014</v>
      </c>
      <c r="S33" s="9">
        <f>(EXP(2*(0.5*LN((1+I33)/(1-I33))-1.96*1/SQRT(E33-3)))-1)/(EXP(2*(0.5*LN((1+I33)/(1-I33))-1.96*1/SQRT(E33-3)))+1)</f>
        <v/>
      </c>
      <c r="T33" s="9">
        <f>(EXP(2*(0.5*LN((1+I33)/(1-I33))+1.96*1/SQRT(E33-3)))-1)/(EXP(2*(0.5*LN((1+I33)/(1-I33))+1.96*1/SQRT(E33-3)))+1)</f>
        <v/>
      </c>
    </row>
    <row r="34">
      <c r="A34" s="8" t="inlineStr">
        <is>
          <t>Age 65+ % (ACS)</t>
        </is>
      </c>
      <c r="B34" s="8" t="inlineStr">
        <is>
          <t>Secondary exposure</t>
        </is>
      </c>
      <c r="C34" s="8" t="inlineStr">
        <is>
          <t>Stroke (PLACES)</t>
        </is>
      </c>
      <c r="D34" s="8" t="inlineStr">
        <is>
          <t>Secondary outcome</t>
        </is>
      </c>
      <c r="E34" s="8" t="n">
        <v>64</v>
      </c>
      <c r="F34" s="9" t="n">
        <v>0.1689963554203107</v>
      </c>
      <c r="G34" s="9" t="n">
        <v>0.2354751876260999</v>
      </c>
      <c r="H34" s="9">
        <f>CORREL(ZCTA_Ranks!F$2:F$69,ZCTA_Ranks!M$2:M$69)</f>
        <v/>
      </c>
      <c r="I34" s="9">
        <f>CORREL(ZCTA_Data!F$2:F$69,ZCTA_Data!M$2:M$69)</f>
        <v/>
      </c>
      <c r="J34" s="8" t="inlineStr">
        <is>
          <t>CORREL( rank(Pct_Age_65_Plus), rank(PLACES_Pct_Stroke) )</t>
        </is>
      </c>
      <c r="K34" s="8" t="inlineStr">
        <is>
          <t>COVAR(Pct_Age_65_Plus,PLACES_Pct_Stroke) / ( STDEVP(Pct_Age_65_Plus) * STDEVP(PLACES_Pct_Stroke) )  =  CORREL(x,y)</t>
        </is>
      </c>
      <c r="L34" s="9" t="n">
        <v>0.06105370439175896</v>
      </c>
      <c r="M34" s="9">
        <f>T.DIST.2T(ABS(I34*SQRT((E34-2)/(1-I34^2))),E34-2)</f>
        <v/>
      </c>
      <c r="N34" s="9" t="n">
        <v>0.181892996765525</v>
      </c>
      <c r="O34" s="9">
        <f>T.DIST.2T(ABS(H34*SQRT((E34-2)/(1-H34^2))),E34-2)</f>
        <v/>
      </c>
      <c r="P34" s="9" t="n">
        <v>0.09487788168228262</v>
      </c>
      <c r="Q34" s="9" t="n">
        <v>-0.01096900248521458</v>
      </c>
      <c r="R34" s="9" t="n">
        <v>0.4549510021310296</v>
      </c>
      <c r="S34" s="9">
        <f>(EXP(2*(0.5*LN((1+I34)/(1-I34))-1.96*1/SQRT(E34-3)))-1)/(EXP(2*(0.5*LN((1+I34)/(1-I34))-1.96*1/SQRT(E34-3)))+1)</f>
        <v/>
      </c>
      <c r="T34" s="9">
        <f>(EXP(2*(0.5*LN((1+I34)/(1-I34))+1.96*1/SQRT(E34-3)))-1)/(EXP(2*(0.5*LN((1+I34)/(1-I34))+1.96*1/SQRT(E34-3)))+1)</f>
        <v/>
      </c>
    </row>
    <row r="35">
      <c r="A35" s="8" t="inlineStr">
        <is>
          <t>Age 65+ % (ACS)</t>
        </is>
      </c>
      <c r="B35" s="8" t="inlineStr">
        <is>
          <t>Secondary exposure</t>
        </is>
      </c>
      <c r="C35" s="8" t="inlineStr">
        <is>
          <t>Physical inactivity (PLACES)</t>
        </is>
      </c>
      <c r="D35" s="8" t="inlineStr">
        <is>
          <t>Secondary outcome</t>
        </is>
      </c>
      <c r="E35" s="8" t="n">
        <v>64</v>
      </c>
      <c r="F35" s="9" t="n">
        <v>-0.4159759117752794</v>
      </c>
      <c r="G35" s="9" t="n">
        <v>-0.4620645969150164</v>
      </c>
      <c r="H35" s="9">
        <f>CORREL(ZCTA_Ranks!F$2:F$69,ZCTA_Ranks!N$2:N$69)</f>
        <v/>
      </c>
      <c r="I35" s="9">
        <f>CORREL(ZCTA_Data!F$2:F$69,ZCTA_Data!N$2:N$69)</f>
        <v/>
      </c>
      <c r="J35" s="8" t="inlineStr">
        <is>
          <t>CORREL( rank(Pct_Age_65_Plus), rank(PLACES_Pct_Physical_Inactivity) )</t>
        </is>
      </c>
      <c r="K35" s="8" t="inlineStr">
        <is>
          <t>COVAR(Pct_Age_65_Plus,PLACES_Pct_Physical_Inactivity) / ( STDEVP(Pct_Age_65_Plus) * STDEVP(PLACES_Pct_Physical_Inactivity) )  =  CORREL(x,y)</t>
        </is>
      </c>
      <c r="L35" s="9" t="n">
        <v>0.0001212480680253052</v>
      </c>
      <c r="M35" s="9">
        <f>T.DIST.2T(ABS(I35*SQRT((E35-2)/(1-I35^2))),E35-2)</f>
        <v/>
      </c>
      <c r="N35" s="9" t="n">
        <v>0.0006295438738059739</v>
      </c>
      <c r="O35" s="9">
        <f>T.DIST.2T(ABS(H35*SQRT((E35-2)/(1-H35^2))),E35-2)</f>
        <v/>
      </c>
      <c r="P35" s="9" t="n">
        <v>0.0004546802550948945</v>
      </c>
      <c r="Q35" s="9" t="n">
        <v>-0.6356741567474913</v>
      </c>
      <c r="R35" s="9" t="n">
        <v>-0.2439647769925146</v>
      </c>
      <c r="S35" s="9">
        <f>(EXP(2*(0.5*LN((1+I35)/(1-I35))-1.96*1/SQRT(E35-3)))-1)/(EXP(2*(0.5*LN((1+I35)/(1-I35))-1.96*1/SQRT(E35-3)))+1)</f>
        <v/>
      </c>
      <c r="T35" s="9">
        <f>(EXP(2*(0.5*LN((1+I35)/(1-I35))+1.96*1/SQRT(E35-3)))-1)/(EXP(2*(0.5*LN((1+I35)/(1-I35))+1.96*1/SQRT(E35-3)))+1)</f>
        <v/>
      </c>
    </row>
    <row r="36">
      <c r="A36" s="8" t="inlineStr">
        <is>
          <t>Age 65+ % (ACS)</t>
        </is>
      </c>
      <c r="B36" s="8" t="inlineStr">
        <is>
          <t>Secondary exposure</t>
        </is>
      </c>
      <c r="C36" s="8" t="inlineStr">
        <is>
          <t>Frequent mental distress (PLACES)</t>
        </is>
      </c>
      <c r="D36" s="8" t="inlineStr">
        <is>
          <t>Secondary outcome</t>
        </is>
      </c>
      <c r="E36" s="8" t="n">
        <v>64</v>
      </c>
      <c r="F36" s="9" t="n">
        <v>-0.767587852545888</v>
      </c>
      <c r="G36" s="9" t="n">
        <v>-0.8261513507821676</v>
      </c>
      <c r="H36" s="9">
        <f>CORREL(ZCTA_Ranks!F$2:F$69,ZCTA_Ranks!O$2:O$69)</f>
        <v/>
      </c>
      <c r="I36" s="9">
        <f>CORREL(ZCTA_Data!F$2:F$69,ZCTA_Data!O$2:O$69)</f>
        <v/>
      </c>
      <c r="J36" s="8" t="inlineStr">
        <is>
          <t>CORREL( rank(Pct_Age_65_Plus), rank(PLACES_Pct_Frequent_Mental_Distress) )</t>
        </is>
      </c>
      <c r="K36" s="8" t="inlineStr">
        <is>
          <t>COVAR(Pct_Age_65_Plus,PLACES_Pct_Frequent_Mental_Distress) / ( STDEVP(Pct_Age_65_Plus) * STDEVP(PLACES_Pct_Frequent_Mental_Distress) )  =  CORREL(x,y)</t>
        </is>
      </c>
      <c r="L36" s="9" t="n">
        <v>4.332926767233911e-17</v>
      </c>
      <c r="M36" s="9">
        <f>T.DIST.2T(ABS(I36*SQRT((E36-2)/(1-I36^2))),E36-2)</f>
        <v/>
      </c>
      <c r="N36" s="9" t="n">
        <v>1.371155657832482e-13</v>
      </c>
      <c r="O36" s="9">
        <f>T.DIST.2T(ABS(H36*SQRT((E36-2)/(1-H36^2))),E36-2)</f>
        <v/>
      </c>
      <c r="P36" s="9" t="n">
        <v>1.94981704525526e-15</v>
      </c>
      <c r="Q36" s="9" t="n">
        <v>-0.8910167991193547</v>
      </c>
      <c r="R36" s="9" t="n">
        <v>-0.7282273197295521</v>
      </c>
      <c r="S36" s="9">
        <f>(EXP(2*(0.5*LN((1+I36)/(1-I36))-1.96*1/SQRT(E36-3)))-1)/(EXP(2*(0.5*LN((1+I36)/(1-I36))-1.96*1/SQRT(E36-3)))+1)</f>
        <v/>
      </c>
      <c r="T36" s="9">
        <f>(EXP(2*(0.5*LN((1+I36)/(1-I36))+1.96*1/SQRT(E36-3)))-1)/(EXP(2*(0.5*LN((1+I36)/(1-I36))+1.96*1/SQRT(E36-3)))+1)</f>
        <v/>
      </c>
    </row>
    <row r="37">
      <c r="A37" s="8" t="inlineStr">
        <is>
          <t>Age 65+ % (ACS)</t>
        </is>
      </c>
      <c r="B37" s="8" t="inlineStr">
        <is>
          <t>Secondary exposure</t>
        </is>
      </c>
      <c r="C37" s="8" t="inlineStr">
        <is>
          <t>Current smoking (PLACES)</t>
        </is>
      </c>
      <c r="D37" s="8" t="inlineStr">
        <is>
          <t>Secondary outcome</t>
        </is>
      </c>
      <c r="E37" s="8" t="n">
        <v>64</v>
      </c>
      <c r="F37" s="9" t="n">
        <v>-0.3867222437304164</v>
      </c>
      <c r="G37" s="9" t="n">
        <v>-0.421222940195913</v>
      </c>
      <c r="H37" s="9">
        <f>CORREL(ZCTA_Ranks!F$2:F$69,ZCTA_Ranks!P$2:P$69)</f>
        <v/>
      </c>
      <c r="I37" s="9">
        <f>CORREL(ZCTA_Data!F$2:F$69,ZCTA_Data!P$2:P$69)</f>
        <v/>
      </c>
      <c r="J37" s="8" t="inlineStr">
        <is>
          <t>CORREL( rank(Pct_Age_65_Plus), rank(PLACES_Pct_Current_Smoking) )</t>
        </is>
      </c>
      <c r="K37" s="8" t="inlineStr">
        <is>
          <t>COVAR(Pct_Age_65_Plus,PLACES_Pct_Current_Smoking) / ( STDEVP(Pct_Age_65_Plus) * STDEVP(PLACES_Pct_Current_Smoking) )  =  CORREL(x,y)</t>
        </is>
      </c>
      <c r="L37" s="9" t="n">
        <v>0.0005279738623176999</v>
      </c>
      <c r="M37" s="9">
        <f>T.DIST.2T(ABS(I37*SQRT((E37-2)/(1-I37^2))),E37-2)</f>
        <v/>
      </c>
      <c r="N37" s="9" t="n">
        <v>0.001596237392832072</v>
      </c>
      <c r="O37" s="9">
        <f>T.DIST.2T(ABS(H37*SQRT((E37-2)/(1-H37^2))),E37-2)</f>
        <v/>
      </c>
      <c r="P37" s="9" t="n">
        <v>0.001484926487768531</v>
      </c>
      <c r="Q37" s="9" t="n">
        <v>-0.6044474284369169</v>
      </c>
      <c r="R37" s="9" t="n">
        <v>-0.1956738251328978</v>
      </c>
      <c r="S37" s="9">
        <f>(EXP(2*(0.5*LN((1+I37)/(1-I37))-1.96*1/SQRT(E37-3)))-1)/(EXP(2*(0.5*LN((1+I37)/(1-I37))-1.96*1/SQRT(E37-3)))+1)</f>
        <v/>
      </c>
      <c r="T37" s="9">
        <f>(EXP(2*(0.5*LN((1+I37)/(1-I37))+1.96*1/SQRT(E37-3)))-1)/(EXP(2*(0.5*LN((1+I37)/(1-I37))+1.96*1/SQRT(E37-3)))+1)</f>
        <v/>
      </c>
    </row>
    <row r="38">
      <c r="A38" s="8" t="inlineStr">
        <is>
          <t>Non-English spoken at home % (ACS)</t>
        </is>
      </c>
      <c r="B38" s="8" t="inlineStr">
        <is>
          <t>Secondary exposure</t>
        </is>
      </c>
      <c r="C38" s="8" t="inlineStr">
        <is>
          <t>Diagnosed diabetes among adults (PLACES)</t>
        </is>
      </c>
      <c r="D38" s="8" t="inlineStr">
        <is>
          <t>Primary outcome</t>
        </is>
      </c>
      <c r="E38" s="8" t="n">
        <v>64</v>
      </c>
      <c r="F38" s="9" t="n">
        <v>-0.01237155966742142</v>
      </c>
      <c r="G38" s="9" t="n">
        <v>0.03142053458607105</v>
      </c>
      <c r="H38" s="9">
        <f>CORREL(ZCTA_Ranks!G$2:G$69,ZCTA_Ranks!H$2:H$69)</f>
        <v/>
      </c>
      <c r="I38" s="9">
        <f>CORREL(ZCTA_Data!G$2:G$69,ZCTA_Data!H$2:H$69)</f>
        <v/>
      </c>
      <c r="J38" s="8" t="inlineStr">
        <is>
          <t>CORREL( rank(Pct_NonEnglish_Language_Home), rank(PLACES_Pct_Diabetes) )</t>
        </is>
      </c>
      <c r="K38" s="8" t="inlineStr">
        <is>
          <t>COVAR(Pct_NonEnglish_Language_Home,PLACES_Pct_Diabetes) / ( STDEVP(Pct_NonEnglish_Language_Home) * STDEVP(PLACES_Pct_Diabetes) )  =  CORREL(x,y)</t>
        </is>
      </c>
      <c r="L38" s="9" t="n">
        <v>0.8053177146260376</v>
      </c>
      <c r="M38" s="9">
        <f>T.DIST.2T(ABS(I38*SQRT((E38-2)/(1-I38^2))),E38-2)</f>
        <v/>
      </c>
      <c r="N38" s="9" t="n">
        <v>0.9227061547021504</v>
      </c>
      <c r="O38" s="9">
        <f>T.DIST.2T(ABS(H38*SQRT((E38-2)/(1-H38^2))),E38-2)</f>
        <v/>
      </c>
      <c r="P38" s="9" t="n">
        <v>0.8654389922515617</v>
      </c>
      <c r="Q38" s="9" t="n">
        <v>-0.2160574588049043</v>
      </c>
      <c r="R38" s="9" t="n">
        <v>0.2751050544139544</v>
      </c>
      <c r="S38" s="9">
        <f>(EXP(2*(0.5*LN((1+I38)/(1-I38))-1.96*1/SQRT(E38-3)))-1)/(EXP(2*(0.5*LN((1+I38)/(1-I38))-1.96*1/SQRT(E38-3)))+1)</f>
        <v/>
      </c>
      <c r="T38" s="9">
        <f>(EXP(2*(0.5*LN((1+I38)/(1-I38))+1.96*1/SQRT(E38-3)))-1)/(EXP(2*(0.5*LN((1+I38)/(1-I38))+1.96*1/SQRT(E38-3)))+1)</f>
        <v/>
      </c>
    </row>
    <row r="39">
      <c r="A39" s="8" t="inlineStr">
        <is>
          <t>Non-English spoken at home % (ACS)</t>
        </is>
      </c>
      <c r="B39" s="8" t="inlineStr">
        <is>
          <t>Secondary exposure</t>
        </is>
      </c>
      <c r="C39" s="8" t="inlineStr">
        <is>
          <t>Obesity (PLACES)</t>
        </is>
      </c>
      <c r="D39" s="8" t="inlineStr">
        <is>
          <t>Secondary outcome</t>
        </is>
      </c>
      <c r="E39" s="8" t="n">
        <v>64</v>
      </c>
      <c r="F39" s="9" t="n">
        <v>0.09615692930867104</v>
      </c>
      <c r="G39" s="9" t="n">
        <v>0.07805931520235</v>
      </c>
      <c r="H39" s="9">
        <f>CORREL(ZCTA_Ranks!G$2:G$69,ZCTA_Ranks!I$2:I$69)</f>
        <v/>
      </c>
      <c r="I39" s="9">
        <f>CORREL(ZCTA_Data!G$2:G$69,ZCTA_Data!I$2:I$69)</f>
        <v/>
      </c>
      <c r="J39" s="8" t="inlineStr">
        <is>
          <t>CORREL( rank(Pct_NonEnglish_Language_Home), rank(PLACES_Pct_Obesity) )</t>
        </is>
      </c>
      <c r="K39" s="8" t="inlineStr">
        <is>
          <t>COVAR(Pct_NonEnglish_Language_Home,PLACES_Pct_Obesity) / ( STDEVP(Pct_NonEnglish_Language_Home) * STDEVP(PLACES_Pct_Obesity) )  =  CORREL(x,y)</t>
        </is>
      </c>
      <c r="L39" s="9" t="n">
        <v>0.539808067960887</v>
      </c>
      <c r="M39" s="9">
        <f>T.DIST.2T(ABS(I39*SQRT((E39-2)/(1-I39^2))),E39-2)</f>
        <v/>
      </c>
      <c r="N39" s="9" t="n">
        <v>0.4497403391846104</v>
      </c>
      <c r="O39" s="9">
        <f>T.DIST.2T(ABS(H39*SQRT((E39-2)/(1-H39^2))),E39-2)</f>
        <v/>
      </c>
      <c r="P39" s="9" t="n">
        <v>0.6072840764559978</v>
      </c>
      <c r="Q39" s="9" t="n">
        <v>-0.1710316723996141</v>
      </c>
      <c r="R39" s="9" t="n">
        <v>0.3177712960057915</v>
      </c>
      <c r="S39" s="9">
        <f>(EXP(2*(0.5*LN((1+I39)/(1-I39))-1.96*1/SQRT(E39-3)))-1)/(EXP(2*(0.5*LN((1+I39)/(1-I39))-1.96*1/SQRT(E39-3)))+1)</f>
        <v/>
      </c>
      <c r="T39" s="9">
        <f>(EXP(2*(0.5*LN((1+I39)/(1-I39))+1.96*1/SQRT(E39-3)))-1)/(EXP(2*(0.5*LN((1+I39)/(1-I39))+1.96*1/SQRT(E39-3)))+1)</f>
        <v/>
      </c>
    </row>
    <row r="40">
      <c r="A40" s="8" t="inlineStr">
        <is>
          <t>Non-English spoken at home % (ACS)</t>
        </is>
      </c>
      <c r="B40" s="8" t="inlineStr">
        <is>
          <t>Secondary exposure</t>
        </is>
      </c>
      <c r="C40" s="8" t="inlineStr">
        <is>
          <t>Fair/poor self-rated health (PLACES)</t>
        </is>
      </c>
      <c r="D40" s="8" t="inlineStr">
        <is>
          <t>Secondary outcome</t>
        </is>
      </c>
      <c r="E40" s="8" t="n">
        <v>64</v>
      </c>
      <c r="F40" s="9" t="n">
        <v>0.2156328374365379</v>
      </c>
      <c r="G40" s="9" t="n">
        <v>0.2369569802378217</v>
      </c>
      <c r="H40" s="9">
        <f>CORREL(ZCTA_Ranks!G$2:G$69,ZCTA_Ranks!J$2:J$69)</f>
        <v/>
      </c>
      <c r="I40" s="9">
        <f>CORREL(ZCTA_Data!G$2:G$69,ZCTA_Data!J$2:J$69)</f>
        <v/>
      </c>
      <c r="J40" s="8" t="inlineStr">
        <is>
          <t>CORREL( rank(Pct_NonEnglish_Language_Home), rank(PLACES_Pct_Fair_Poor_Health) )</t>
        </is>
      </c>
      <c r="K40" s="8" t="inlineStr">
        <is>
          <t>COVAR(Pct_NonEnglish_Language_Home,PLACES_Pct_Fair_Poor_Health) / ( STDEVP(Pct_NonEnglish_Language_Home) * STDEVP(PLACES_Pct_Fair_Poor_Health) )  =  CORREL(x,y)</t>
        </is>
      </c>
      <c r="L40" s="9" t="n">
        <v>0.05939745664415868</v>
      </c>
      <c r="M40" s="9">
        <f>T.DIST.2T(ABS(I40*SQRT((E40-2)/(1-I40^2))),E40-2)</f>
        <v/>
      </c>
      <c r="N40" s="9" t="n">
        <v>0.08703336887211287</v>
      </c>
      <c r="O40" s="9">
        <f>T.DIST.2T(ABS(H40*SQRT((E40-2)/(1-H40^2))),E40-2)</f>
        <v/>
      </c>
      <c r="P40" s="9" t="n">
        <v>0.09487788168228262</v>
      </c>
      <c r="Q40" s="9" t="n">
        <v>-0.009399805398122593</v>
      </c>
      <c r="R40" s="9" t="n">
        <v>0.4561946465352371</v>
      </c>
      <c r="S40" s="9">
        <f>(EXP(2*(0.5*LN((1+I40)/(1-I40))-1.96*1/SQRT(E40-3)))-1)/(EXP(2*(0.5*LN((1+I40)/(1-I40))-1.96*1/SQRT(E40-3)))+1)</f>
        <v/>
      </c>
      <c r="T40" s="9">
        <f>(EXP(2*(0.5*LN((1+I40)/(1-I40))+1.96*1/SQRT(E40-3)))-1)/(EXP(2*(0.5*LN((1+I40)/(1-I40))+1.96*1/SQRT(E40-3)))+1)</f>
        <v/>
      </c>
    </row>
    <row r="41">
      <c r="A41" s="8" t="inlineStr">
        <is>
          <t>Non-English spoken at home % (ACS)</t>
        </is>
      </c>
      <c r="B41" s="8" t="inlineStr">
        <is>
          <t>Secondary exposure</t>
        </is>
      </c>
      <c r="C41" s="8" t="inlineStr">
        <is>
          <t>Coronary heart disease (PLACES)</t>
        </is>
      </c>
      <c r="D41" s="8" t="inlineStr">
        <is>
          <t>Secondary outcome</t>
        </is>
      </c>
      <c r="E41" s="8" t="n">
        <v>64</v>
      </c>
      <c r="F41" s="9" t="n">
        <v>-0.2290938899453916</v>
      </c>
      <c r="G41" s="9" t="n">
        <v>-0.158796682994749</v>
      </c>
      <c r="H41" s="9">
        <f>CORREL(ZCTA_Ranks!G$2:G$69,ZCTA_Ranks!K$2:K$69)</f>
        <v/>
      </c>
      <c r="I41" s="9">
        <f>CORREL(ZCTA_Data!G$2:G$69,ZCTA_Data!K$2:K$69)</f>
        <v/>
      </c>
      <c r="J41" s="8" t="inlineStr">
        <is>
          <t>CORREL( rank(Pct_NonEnglish_Language_Home), rank(PLACES_Pct_Coronary_Heart_Disease) )</t>
        </is>
      </c>
      <c r="K41" s="8" t="inlineStr">
        <is>
          <t>COVAR(Pct_NonEnglish_Language_Home,PLACES_Pct_Coronary_Heart_Disease) / ( STDEVP(Pct_NonEnglish_Language_Home) * STDEVP(PLACES_Pct_Coronary_Heart_Disease) )  =  CORREL(x,y)</t>
        </is>
      </c>
      <c r="L41" s="9" t="n">
        <v>0.2100945326766735</v>
      </c>
      <c r="M41" s="9">
        <f>T.DIST.2T(ABS(I41*SQRT((E41-2)/(1-I41^2))),E41-2)</f>
        <v/>
      </c>
      <c r="N41" s="9" t="n">
        <v>0.06861750779932208</v>
      </c>
      <c r="O41" s="9">
        <f>T.DIST.2T(ABS(H41*SQRT((E41-2)/(1-H41^2))),E41-2)</f>
        <v/>
      </c>
      <c r="P41" s="9" t="n">
        <v>0.2626181658458419</v>
      </c>
      <c r="Q41" s="9" t="n">
        <v>-0.3894060086337466</v>
      </c>
      <c r="R41" s="9" t="n">
        <v>0.09054698311573946</v>
      </c>
      <c r="S41" s="9">
        <f>(EXP(2*(0.5*LN((1+I41)/(1-I41))-1.96*1/SQRT(E41-3)))-1)/(EXP(2*(0.5*LN((1+I41)/(1-I41))-1.96*1/SQRT(E41-3)))+1)</f>
        <v/>
      </c>
      <c r="T41" s="9">
        <f>(EXP(2*(0.5*LN((1+I41)/(1-I41))+1.96*1/SQRT(E41-3)))-1)/(EXP(2*(0.5*LN((1+I41)/(1-I41))+1.96*1/SQRT(E41-3)))+1)</f>
        <v/>
      </c>
    </row>
    <row r="42">
      <c r="A42" s="8" t="inlineStr">
        <is>
          <t>Non-English spoken at home % (ACS)</t>
        </is>
      </c>
      <c r="B42" s="8" t="inlineStr">
        <is>
          <t>Secondary exposure</t>
        </is>
      </c>
      <c r="C42" s="8" t="inlineStr">
        <is>
          <t>COPD (PLACES)</t>
        </is>
      </c>
      <c r="D42" s="8" t="inlineStr">
        <is>
          <t>Secondary outcome</t>
        </is>
      </c>
      <c r="E42" s="8" t="n">
        <v>64</v>
      </c>
      <c r="F42" s="9" t="n">
        <v>-0.06453238768465334</v>
      </c>
      <c r="G42" s="9" t="n">
        <v>-0.003315286318687685</v>
      </c>
      <c r="H42" s="9">
        <f>CORREL(ZCTA_Ranks!G$2:G$69,ZCTA_Ranks!L$2:L$69)</f>
        <v/>
      </c>
      <c r="I42" s="9">
        <f>CORREL(ZCTA_Data!G$2:G$69,ZCTA_Data!L$2:L$69)</f>
        <v/>
      </c>
      <c r="J42" s="8" t="inlineStr">
        <is>
          <t>CORREL( rank(Pct_NonEnglish_Language_Home), rank(PLACES_Pct_COPD) )</t>
        </is>
      </c>
      <c r="K42" s="8" t="inlineStr">
        <is>
          <t>COVAR(Pct_NonEnglish_Language_Home,PLACES_Pct_COPD) / ( STDEVP(Pct_NonEnglish_Language_Home) * STDEVP(PLACES_Pct_COPD) )  =  CORREL(x,y)</t>
        </is>
      </c>
      <c r="L42" s="9" t="n">
        <v>0.9792576430227683</v>
      </c>
      <c r="M42" s="9">
        <f>T.DIST.2T(ABS(I42*SQRT((E42-2)/(1-I42^2))),E42-2)</f>
        <v/>
      </c>
      <c r="N42" s="9" t="n">
        <v>0.6124266428417378</v>
      </c>
      <c r="O42" s="9">
        <f>T.DIST.2T(ABS(H42*SQRT((E42-2)/(1-H42^2))),E42-2)</f>
        <v/>
      </c>
      <c r="P42" s="9" t="n">
        <v>0.986123792047642</v>
      </c>
      <c r="Q42" s="9" t="n">
        <v>-0.2489217154584294</v>
      </c>
      <c r="R42" s="9" t="n">
        <v>0.2426917724918567</v>
      </c>
      <c r="S42" s="9">
        <f>(EXP(2*(0.5*LN((1+I42)/(1-I42))-1.96*1/SQRT(E42-3)))-1)/(EXP(2*(0.5*LN((1+I42)/(1-I42))-1.96*1/SQRT(E42-3)))+1)</f>
        <v/>
      </c>
      <c r="T42" s="9">
        <f>(EXP(2*(0.5*LN((1+I42)/(1-I42))+1.96*1/SQRT(E42-3)))-1)/(EXP(2*(0.5*LN((1+I42)/(1-I42))+1.96*1/SQRT(E42-3)))+1)</f>
        <v/>
      </c>
    </row>
    <row r="43">
      <c r="A43" s="8" t="inlineStr">
        <is>
          <t>Non-English spoken at home % (ACS)</t>
        </is>
      </c>
      <c r="B43" s="8" t="inlineStr">
        <is>
          <t>Secondary exposure</t>
        </is>
      </c>
      <c r="C43" s="8" t="inlineStr">
        <is>
          <t>Stroke (PLACES)</t>
        </is>
      </c>
      <c r="D43" s="8" t="inlineStr">
        <is>
          <t>Secondary outcome</t>
        </is>
      </c>
      <c r="E43" s="8" t="n">
        <v>64</v>
      </c>
      <c r="F43" s="9" t="n">
        <v>-0.07233785891053618</v>
      </c>
      <c r="G43" s="9" t="n">
        <v>-0.01168700195018256</v>
      </c>
      <c r="H43" s="9">
        <f>CORREL(ZCTA_Ranks!G$2:G$69,ZCTA_Ranks!M$2:M$69)</f>
        <v/>
      </c>
      <c r="I43" s="9">
        <f>CORREL(ZCTA_Data!G$2:G$69,ZCTA_Data!M$2:M$69)</f>
        <v/>
      </c>
      <c r="J43" s="8" t="inlineStr">
        <is>
          <t>CORREL( rank(Pct_NonEnglish_Language_Home), rank(PLACES_Pct_Stroke) )</t>
        </is>
      </c>
      <c r="K43" s="8" t="inlineStr">
        <is>
          <t>COVAR(Pct_NonEnglish_Language_Home,PLACES_Pct_Stroke) / ( STDEVP(Pct_NonEnglish_Language_Home) * STDEVP(PLACES_Pct_Stroke) )  =  CORREL(x,y)</t>
        </is>
      </c>
      <c r="L43" s="9" t="n">
        <v>0.9269710552188759</v>
      </c>
      <c r="M43" s="9">
        <f>T.DIST.2T(ABS(I43*SQRT((E43-2)/(1-I43^2))),E43-2)</f>
        <v/>
      </c>
      <c r="N43" s="9" t="n">
        <v>0.5700063692514872</v>
      </c>
      <c r="O43" s="9">
        <f>T.DIST.2T(ABS(H43*SQRT((E43-2)/(1-H43^2))),E43-2)</f>
        <v/>
      </c>
      <c r="P43" s="9" t="n">
        <v>0.970085988019754</v>
      </c>
      <c r="Q43" s="9" t="n">
        <v>-0.2567586748699366</v>
      </c>
      <c r="R43" s="9" t="n">
        <v>0.2347967985385251</v>
      </c>
      <c r="S43" s="9">
        <f>(EXP(2*(0.5*LN((1+I43)/(1-I43))-1.96*1/SQRT(E43-3)))-1)/(EXP(2*(0.5*LN((1+I43)/(1-I43))-1.96*1/SQRT(E43-3)))+1)</f>
        <v/>
      </c>
      <c r="T43" s="9">
        <f>(EXP(2*(0.5*LN((1+I43)/(1-I43))+1.96*1/SQRT(E43-3)))-1)/(EXP(2*(0.5*LN((1+I43)/(1-I43))+1.96*1/SQRT(E43-3)))+1)</f>
        <v/>
      </c>
    </row>
    <row r="44">
      <c r="A44" s="8" t="inlineStr">
        <is>
          <t>Non-English spoken at home % (ACS)</t>
        </is>
      </c>
      <c r="B44" s="8" t="inlineStr">
        <is>
          <t>Secondary exposure</t>
        </is>
      </c>
      <c r="C44" s="8" t="inlineStr">
        <is>
          <t>Physical inactivity (PLACES)</t>
        </is>
      </c>
      <c r="D44" s="8" t="inlineStr">
        <is>
          <t>Secondary outcome</t>
        </is>
      </c>
      <c r="E44" s="8" t="n">
        <v>64</v>
      </c>
      <c r="F44" s="9" t="n">
        <v>0.1944784794653668</v>
      </c>
      <c r="G44" s="9" t="n">
        <v>0.2242967704106528</v>
      </c>
      <c r="H44" s="9">
        <f>CORREL(ZCTA_Ranks!G$2:G$69,ZCTA_Ranks!N$2:N$69)</f>
        <v/>
      </c>
      <c r="I44" s="9">
        <f>CORREL(ZCTA_Data!G$2:G$69,ZCTA_Data!N$2:N$69)</f>
        <v/>
      </c>
      <c r="J44" s="8" t="inlineStr">
        <is>
          <t>CORREL( rank(Pct_NonEnglish_Language_Home), rank(PLACES_Pct_Physical_Inactivity) )</t>
        </is>
      </c>
      <c r="K44" s="8" t="inlineStr">
        <is>
          <t>COVAR(Pct_NonEnglish_Language_Home,PLACES_Pct_Physical_Inactivity) / ( STDEVP(Pct_NonEnglish_Language_Home) * STDEVP(PLACES_Pct_Physical_Inactivity) )  =  CORREL(x,y)</t>
        </is>
      </c>
      <c r="L44" s="9" t="n">
        <v>0.07478405547980978</v>
      </c>
      <c r="M44" s="9">
        <f>T.DIST.2T(ABS(I44*SQRT((E44-2)/(1-I44^2))),E44-2)</f>
        <v/>
      </c>
      <c r="N44" s="9" t="n">
        <v>0.1235829012134497</v>
      </c>
      <c r="O44" s="9">
        <f>T.DIST.2T(ABS(H44*SQRT((E44-2)/(1-H44^2))),E44-2)</f>
        <v/>
      </c>
      <c r="P44" s="9" t="n">
        <v>0.1085574998900465</v>
      </c>
      <c r="Q44" s="9" t="n">
        <v>-0.02276779695517934</v>
      </c>
      <c r="R44" s="9" t="n">
        <v>0.4455414679037072</v>
      </c>
      <c r="S44" s="9">
        <f>(EXP(2*(0.5*LN((1+I44)/(1-I44))-1.96*1/SQRT(E44-3)))-1)/(EXP(2*(0.5*LN((1+I44)/(1-I44))-1.96*1/SQRT(E44-3)))+1)</f>
        <v/>
      </c>
      <c r="T44" s="9">
        <f>(EXP(2*(0.5*LN((1+I44)/(1-I44))+1.96*1/SQRT(E44-3)))-1)/(EXP(2*(0.5*LN((1+I44)/(1-I44))+1.96*1/SQRT(E44-3)))+1)</f>
        <v/>
      </c>
    </row>
    <row r="45">
      <c r="A45" s="8" t="inlineStr">
        <is>
          <t>Non-English spoken at home % (ACS)</t>
        </is>
      </c>
      <c r="B45" s="8" t="inlineStr">
        <is>
          <t>Secondary exposure</t>
        </is>
      </c>
      <c r="C45" s="8" t="inlineStr">
        <is>
          <t>Frequent mental distress (PLACES)</t>
        </is>
      </c>
      <c r="D45" s="8" t="inlineStr">
        <is>
          <t>Secondary outcome</t>
        </is>
      </c>
      <c r="E45" s="8" t="n">
        <v>64</v>
      </c>
      <c r="F45" s="9" t="n">
        <v>0.2079811273557687</v>
      </c>
      <c r="G45" s="9" t="n">
        <v>0.23355787079099</v>
      </c>
      <c r="H45" s="9">
        <f>CORREL(ZCTA_Ranks!G$2:G$69,ZCTA_Ranks!O$2:O$69)</f>
        <v/>
      </c>
      <c r="I45" s="9">
        <f>CORREL(ZCTA_Data!G$2:G$69,ZCTA_Data!O$2:O$69)</f>
        <v/>
      </c>
      <c r="J45" s="8" t="inlineStr">
        <is>
          <t>CORREL( rank(Pct_NonEnglish_Language_Home), rank(PLACES_Pct_Frequent_Mental_Distress) )</t>
        </is>
      </c>
      <c r="K45" s="8" t="inlineStr">
        <is>
          <t>COVAR(Pct_NonEnglish_Language_Home,PLACES_Pct_Frequent_Mental_Distress) / ( STDEVP(Pct_NonEnglish_Language_Home) * STDEVP(PLACES_Pct_Frequent_Mental_Distress) )  =  CORREL(x,y)</t>
        </is>
      </c>
      <c r="L45" s="9" t="n">
        <v>0.06325192112152174</v>
      </c>
      <c r="M45" s="9">
        <f>T.DIST.2T(ABS(I45*SQRT((E45-2)/(1-I45^2))),E45-2)</f>
        <v/>
      </c>
      <c r="N45" s="9" t="n">
        <v>0.09911815687719983</v>
      </c>
      <c r="O45" s="9">
        <f>T.DIST.2T(ABS(H45*SQRT((E45-2)/(1-H45^2))),E45-2)</f>
        <v/>
      </c>
      <c r="P45" s="9" t="n">
        <v>0.09487788168228262</v>
      </c>
      <c r="Q45" s="9" t="n">
        <v>-0.01299761366516424</v>
      </c>
      <c r="R45" s="9" t="n">
        <v>0.4533405578220653</v>
      </c>
      <c r="S45" s="9">
        <f>(EXP(2*(0.5*LN((1+I45)/(1-I45))-1.96*1/SQRT(E45-3)))-1)/(EXP(2*(0.5*LN((1+I45)/(1-I45))-1.96*1/SQRT(E45-3)))+1)</f>
        <v/>
      </c>
      <c r="T45" s="9">
        <f>(EXP(2*(0.5*LN((1+I45)/(1-I45))+1.96*1/SQRT(E45-3)))-1)/(EXP(2*(0.5*LN((1+I45)/(1-I45))+1.96*1/SQRT(E45-3)))+1)</f>
        <v/>
      </c>
    </row>
    <row r="46">
      <c r="A46" s="8" t="inlineStr">
        <is>
          <t>Non-English spoken at home % (ACS)</t>
        </is>
      </c>
      <c r="B46" s="8" t="inlineStr">
        <is>
          <t>Secondary exposure</t>
        </is>
      </c>
      <c r="C46" s="8" t="inlineStr">
        <is>
          <t>Current smoking (PLACES)</t>
        </is>
      </c>
      <c r="D46" s="8" t="inlineStr">
        <is>
          <t>Secondary outcome</t>
        </is>
      </c>
      <c r="E46" s="8" t="n">
        <v>64</v>
      </c>
      <c r="F46" s="9" t="n">
        <v>0.1999977096133254</v>
      </c>
      <c r="G46" s="9" t="n">
        <v>0.2140257610121544</v>
      </c>
      <c r="H46" s="9">
        <f>CORREL(ZCTA_Ranks!G$2:G$69,ZCTA_Ranks!P$2:P$69)</f>
        <v/>
      </c>
      <c r="I46" s="9">
        <f>CORREL(ZCTA_Data!G$2:G$69,ZCTA_Data!P$2:P$69)</f>
        <v/>
      </c>
      <c r="J46" s="8" t="inlineStr">
        <is>
          <t>CORREL( rank(Pct_NonEnglish_Language_Home), rank(PLACES_Pct_Current_Smoking) )</t>
        </is>
      </c>
      <c r="K46" s="8" t="inlineStr">
        <is>
          <t>COVAR(Pct_NonEnglish_Language_Home,PLACES_Pct_Current_Smoking) / ( STDEVP(Pct_NonEnglish_Language_Home) * STDEVP(PLACES_Pct_Current_Smoking) )  =  CORREL(x,y)</t>
        </is>
      </c>
      <c r="L46" s="9" t="n">
        <v>0.08947009613055557</v>
      </c>
      <c r="M46" s="9">
        <f>T.DIST.2T(ABS(I46*SQRT((E46-2)/(1-I46^2))),E46-2)</f>
        <v/>
      </c>
      <c r="N46" s="9" t="n">
        <v>0.1130795440022617</v>
      </c>
      <c r="O46" s="9">
        <f>T.DIST.2T(ABS(H46*SQRT((E46-2)/(1-H46^2))),E46-2)</f>
        <v/>
      </c>
      <c r="P46" s="9" t="n">
        <v>0.1258173226835938</v>
      </c>
      <c r="Q46" s="9" t="n">
        <v>-0.03354849142953032</v>
      </c>
      <c r="R46" s="9" t="n">
        <v>0.4368524464944045</v>
      </c>
      <c r="S46" s="9">
        <f>(EXP(2*(0.5*LN((1+I46)/(1-I46))-1.96*1/SQRT(E46-3)))-1)/(EXP(2*(0.5*LN((1+I46)/(1-I46))-1.96*1/SQRT(E46-3)))+1)</f>
        <v/>
      </c>
      <c r="T46" s="9">
        <f>(EXP(2*(0.5*LN((1+I46)/(1-I46))+1.96*1/SQRT(E46-3)))-1)/(EXP(2*(0.5*LN((1+I46)/(1-I46))+1.96*1/SQRT(E46-3)))+1)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0"/>
  <sheetViews>
    <sheetView workbookViewId="0">
      <selection activeCell="A1" sqref="A1"/>
    </sheetView>
  </sheetViews>
  <sheetFormatPr baseColWidth="8" defaultRowHeight="15"/>
  <cols>
    <col width="52" customWidth="1" min="1" max="1"/>
    <col width="52" customWidth="1" min="2" max="2"/>
    <col width="52" customWidth="1" min="3" max="3"/>
    <col width="23" customWidth="1" min="4" max="4"/>
    <col width="14" customWidth="1" min="5" max="5"/>
  </cols>
  <sheetData>
    <row r="1">
      <c r="A1" s="1" t="inlineStr">
        <is>
          <t>Worked example - Poverty % (ACS DP03_0128PE) (X) vs Diagnosed diabetes among adults (PLACES) (Y)</t>
        </is>
      </c>
    </row>
    <row r="2">
      <c r="A2" s="10" t="inlineStr">
        <is>
          <t>Only the 62 ZCTAs valid for BOTH measures are kept (pairwise-complete). Ranks, covariance, std and both correlations are live formulas - click a cell to see the calculation.</t>
        </is>
      </c>
    </row>
    <row r="3">
      <c r="A3" s="5" t="inlineStr">
        <is>
          <t>ZCTA</t>
        </is>
      </c>
      <c r="B3" s="5" t="inlineStr">
        <is>
          <t>Poverty % (ACS DP03_0128PE) (X)</t>
        </is>
      </c>
      <c r="C3" s="5" t="inlineStr">
        <is>
          <t>Diagnosed diabetes among adults (PLACES) (Y)</t>
        </is>
      </c>
      <c r="D3" s="5" t="inlineStr">
        <is>
          <t>Rank X (avg)</t>
        </is>
      </c>
      <c r="E3" s="5" t="inlineStr">
        <is>
          <t>Rank Y (avg)</t>
        </is>
      </c>
    </row>
    <row r="4">
      <c r="A4" s="8" t="inlineStr">
        <is>
          <t>19733</t>
        </is>
      </c>
      <c r="B4" s="11" t="n">
        <v>0</v>
      </c>
      <c r="C4" s="11" t="n">
        <v>12.5</v>
      </c>
      <c r="D4" s="12" t="n">
        <v>1</v>
      </c>
      <c r="E4" s="12" t="n">
        <v>22.5</v>
      </c>
    </row>
    <row r="5">
      <c r="A5" s="8" t="inlineStr">
        <is>
          <t>19931</t>
        </is>
      </c>
      <c r="B5" s="11" t="n">
        <v>0.5</v>
      </c>
      <c r="C5" s="11" t="n">
        <v>18.1</v>
      </c>
      <c r="D5" s="12" t="n">
        <v>2</v>
      </c>
      <c r="E5" s="12" t="n">
        <v>61</v>
      </c>
    </row>
    <row r="6">
      <c r="A6" s="8" t="inlineStr">
        <is>
          <t>19944</t>
        </is>
      </c>
      <c r="B6" s="11" t="n">
        <v>1.9</v>
      </c>
      <c r="C6" s="11" t="n">
        <v>12.9</v>
      </c>
      <c r="D6" s="12" t="n">
        <v>3.5</v>
      </c>
      <c r="E6" s="12" t="n">
        <v>26</v>
      </c>
    </row>
    <row r="7">
      <c r="A7" s="8" t="inlineStr">
        <is>
          <t>19730</t>
        </is>
      </c>
      <c r="B7" s="11" t="n">
        <v>1.9</v>
      </c>
      <c r="C7" s="11" t="n">
        <v>9.5</v>
      </c>
      <c r="D7" s="12" t="n">
        <v>3.5</v>
      </c>
      <c r="E7" s="12" t="n">
        <v>2</v>
      </c>
    </row>
    <row r="8">
      <c r="A8" s="8" t="inlineStr">
        <is>
          <t>19803</t>
        </is>
      </c>
      <c r="B8" s="11" t="n">
        <v>2</v>
      </c>
      <c r="C8" s="11" t="n">
        <v>10.5</v>
      </c>
      <c r="D8" s="12" t="n">
        <v>5</v>
      </c>
      <c r="E8" s="12" t="n">
        <v>7.5</v>
      </c>
    </row>
    <row r="9">
      <c r="A9" s="8" t="inlineStr">
        <is>
          <t>19707</t>
        </is>
      </c>
      <c r="B9" s="11" t="n">
        <v>2.4</v>
      </c>
      <c r="C9" s="11" t="n">
        <v>10.3</v>
      </c>
      <c r="D9" s="12" t="n">
        <v>6</v>
      </c>
      <c r="E9" s="12" t="n">
        <v>5</v>
      </c>
    </row>
    <row r="10">
      <c r="A10" s="8" t="inlineStr">
        <is>
          <t>19930</t>
        </is>
      </c>
      <c r="B10" s="11" t="n">
        <v>2.5</v>
      </c>
      <c r="C10" s="11" t="n">
        <v>12.3</v>
      </c>
      <c r="D10" s="12" t="n">
        <v>7</v>
      </c>
      <c r="E10" s="12" t="n">
        <v>20</v>
      </c>
    </row>
    <row r="11">
      <c r="A11" s="8" t="inlineStr">
        <is>
          <t>19955</t>
        </is>
      </c>
      <c r="B11" s="11" t="n">
        <v>3.1</v>
      </c>
      <c r="C11" s="11" t="n">
        <v>14.7</v>
      </c>
      <c r="D11" s="12" t="n">
        <v>8</v>
      </c>
      <c r="E11" s="12" t="n">
        <v>52</v>
      </c>
    </row>
    <row r="12">
      <c r="A12" s="8" t="inlineStr">
        <is>
          <t>19807</t>
        </is>
      </c>
      <c r="B12" s="11" t="n">
        <v>4.1</v>
      </c>
      <c r="C12" s="11" t="n">
        <v>11</v>
      </c>
      <c r="D12" s="12" t="n">
        <v>9</v>
      </c>
      <c r="E12" s="12" t="n">
        <v>11</v>
      </c>
    </row>
    <row r="13">
      <c r="A13" s="8" t="inlineStr">
        <is>
          <t>19731</t>
        </is>
      </c>
      <c r="B13" s="11" t="n">
        <v>4.3</v>
      </c>
      <c r="C13" s="11" t="n">
        <v>10</v>
      </c>
      <c r="D13" s="12" t="n">
        <v>10</v>
      </c>
      <c r="E13" s="12" t="n">
        <v>4</v>
      </c>
    </row>
    <row r="14">
      <c r="A14" s="8" t="inlineStr">
        <is>
          <t>19975</t>
        </is>
      </c>
      <c r="B14" s="11" t="n">
        <v>4.4</v>
      </c>
      <c r="C14" s="11" t="n">
        <v>13.6</v>
      </c>
      <c r="D14" s="12" t="n">
        <v>11</v>
      </c>
      <c r="E14" s="12" t="n">
        <v>35.5</v>
      </c>
    </row>
    <row r="15">
      <c r="A15" s="8" t="inlineStr">
        <is>
          <t>19964</t>
        </is>
      </c>
      <c r="B15" s="11" t="n">
        <v>4.6</v>
      </c>
      <c r="C15" s="11" t="n">
        <v>14.3</v>
      </c>
      <c r="D15" s="12" t="n">
        <v>12.5</v>
      </c>
      <c r="E15" s="12" t="n">
        <v>49</v>
      </c>
    </row>
    <row r="16">
      <c r="A16" s="8" t="inlineStr">
        <is>
          <t>19810</t>
        </is>
      </c>
      <c r="B16" s="11" t="n">
        <v>4.6</v>
      </c>
      <c r="C16" s="11" t="n">
        <v>11.1</v>
      </c>
      <c r="D16" s="12" t="n">
        <v>12.5</v>
      </c>
      <c r="E16" s="12" t="n">
        <v>13</v>
      </c>
    </row>
    <row r="17">
      <c r="A17" s="8" t="inlineStr">
        <is>
          <t>19709</t>
        </is>
      </c>
      <c r="B17" s="11" t="n">
        <v>5</v>
      </c>
      <c r="C17" s="11" t="n">
        <v>10.4</v>
      </c>
      <c r="D17" s="12" t="n">
        <v>14</v>
      </c>
      <c r="E17" s="12" t="n">
        <v>6</v>
      </c>
    </row>
    <row r="18">
      <c r="A18" s="8" t="inlineStr">
        <is>
          <t>19808</t>
        </is>
      </c>
      <c r="B18" s="11" t="n">
        <v>5.4</v>
      </c>
      <c r="C18" s="11" t="n">
        <v>11</v>
      </c>
      <c r="D18" s="12" t="n">
        <v>15.5</v>
      </c>
      <c r="E18" s="12" t="n">
        <v>11</v>
      </c>
    </row>
    <row r="19">
      <c r="A19" s="8" t="inlineStr">
        <is>
          <t>19939</t>
        </is>
      </c>
      <c r="B19" s="11" t="n">
        <v>5.4</v>
      </c>
      <c r="C19" s="11" t="n">
        <v>13.8</v>
      </c>
      <c r="D19" s="12" t="n">
        <v>15.5</v>
      </c>
      <c r="E19" s="12" t="n">
        <v>38</v>
      </c>
    </row>
    <row r="20">
      <c r="A20" s="8" t="inlineStr">
        <is>
          <t>19734</t>
        </is>
      </c>
      <c r="B20" s="11" t="n">
        <v>5.5</v>
      </c>
      <c r="C20" s="11" t="n">
        <v>10.5</v>
      </c>
      <c r="D20" s="12" t="n">
        <v>17</v>
      </c>
      <c r="E20" s="12" t="n">
        <v>7.5</v>
      </c>
    </row>
    <row r="21">
      <c r="A21" s="8" t="inlineStr">
        <is>
          <t>19967</t>
        </is>
      </c>
      <c r="B21" s="11" t="n">
        <v>5.9</v>
      </c>
      <c r="C21" s="11" t="n">
        <v>14.6</v>
      </c>
      <c r="D21" s="12" t="n">
        <v>18.5</v>
      </c>
      <c r="E21" s="12" t="n">
        <v>51</v>
      </c>
    </row>
    <row r="22">
      <c r="A22" s="8" t="inlineStr">
        <is>
          <t>19962</t>
        </is>
      </c>
      <c r="B22" s="11" t="n">
        <v>5.9</v>
      </c>
      <c r="C22" s="11" t="n">
        <v>13.3</v>
      </c>
      <c r="D22" s="12" t="n">
        <v>18.5</v>
      </c>
      <c r="E22" s="12" t="n">
        <v>29.5</v>
      </c>
    </row>
    <row r="23">
      <c r="A23" s="8" t="inlineStr">
        <is>
          <t>19938</t>
        </is>
      </c>
      <c r="B23" s="11" t="n">
        <v>6</v>
      </c>
      <c r="C23" s="11" t="n">
        <v>12.6</v>
      </c>
      <c r="D23" s="12" t="n">
        <v>20.5</v>
      </c>
      <c r="E23" s="12" t="n">
        <v>25</v>
      </c>
    </row>
    <row r="24">
      <c r="A24" s="8" t="inlineStr">
        <is>
          <t>19958</t>
        </is>
      </c>
      <c r="B24" s="11" t="n">
        <v>6</v>
      </c>
      <c r="C24" s="11" t="n">
        <v>13.4</v>
      </c>
      <c r="D24" s="12" t="n">
        <v>20.5</v>
      </c>
      <c r="E24" s="12" t="n">
        <v>31.5</v>
      </c>
    </row>
    <row r="25">
      <c r="A25" s="8" t="inlineStr">
        <is>
          <t>19706</t>
        </is>
      </c>
      <c r="B25" s="11" t="n">
        <v>6.1</v>
      </c>
      <c r="C25" s="11" t="n">
        <v>11.8</v>
      </c>
      <c r="D25" s="12" t="n">
        <v>22.5</v>
      </c>
      <c r="E25" s="12" t="n">
        <v>16</v>
      </c>
    </row>
    <row r="26">
      <c r="A26" s="8" t="inlineStr">
        <is>
          <t>19950</t>
        </is>
      </c>
      <c r="B26" s="11" t="n">
        <v>6.1</v>
      </c>
      <c r="C26" s="11" t="n">
        <v>14</v>
      </c>
      <c r="D26" s="12" t="n">
        <v>22.5</v>
      </c>
      <c r="E26" s="12" t="n">
        <v>42</v>
      </c>
    </row>
    <row r="27">
      <c r="A27" s="8" t="inlineStr">
        <is>
          <t>19953</t>
        </is>
      </c>
      <c r="B27" s="11" t="n">
        <v>6.2</v>
      </c>
      <c r="C27" s="11" t="n">
        <v>14</v>
      </c>
      <c r="D27" s="12" t="n">
        <v>24</v>
      </c>
      <c r="E27" s="12" t="n">
        <v>42</v>
      </c>
    </row>
    <row r="28">
      <c r="A28" s="8" t="inlineStr">
        <is>
          <t>19701</t>
        </is>
      </c>
      <c r="B28" s="11" t="n">
        <v>7</v>
      </c>
      <c r="C28" s="11" t="n">
        <v>11.9</v>
      </c>
      <c r="D28" s="12" t="n">
        <v>25.5</v>
      </c>
      <c r="E28" s="12" t="n">
        <v>17.5</v>
      </c>
    </row>
    <row r="29">
      <c r="A29" s="8" t="inlineStr">
        <is>
          <t>19934</t>
        </is>
      </c>
      <c r="B29" s="11" t="n">
        <v>7</v>
      </c>
      <c r="C29" s="11" t="n">
        <v>13.5</v>
      </c>
      <c r="D29" s="12" t="n">
        <v>25.5</v>
      </c>
      <c r="E29" s="12" t="n">
        <v>33.5</v>
      </c>
    </row>
    <row r="30">
      <c r="A30" s="8" t="inlineStr">
        <is>
          <t>19952</t>
        </is>
      </c>
      <c r="B30" s="11" t="n">
        <v>7.1</v>
      </c>
      <c r="C30" s="11" t="n">
        <v>14</v>
      </c>
      <c r="D30" s="12" t="n">
        <v>27</v>
      </c>
      <c r="E30" s="12" t="n">
        <v>42</v>
      </c>
    </row>
    <row r="31">
      <c r="A31" s="8" t="inlineStr">
        <is>
          <t>19971</t>
        </is>
      </c>
      <c r="B31" s="11" t="n">
        <v>7.7</v>
      </c>
      <c r="C31" s="11" t="n">
        <v>11.9</v>
      </c>
      <c r="D31" s="12" t="n">
        <v>28</v>
      </c>
      <c r="E31" s="12" t="n">
        <v>17.5</v>
      </c>
    </row>
    <row r="32">
      <c r="A32" s="8" t="inlineStr">
        <is>
          <t>19702</t>
        </is>
      </c>
      <c r="B32" s="11" t="n">
        <v>7.9</v>
      </c>
      <c r="C32" s="11" t="n">
        <v>11.2</v>
      </c>
      <c r="D32" s="12" t="n">
        <v>29</v>
      </c>
      <c r="E32" s="12" t="n">
        <v>14</v>
      </c>
    </row>
    <row r="33">
      <c r="A33" s="8" t="inlineStr">
        <is>
          <t>19946</t>
        </is>
      </c>
      <c r="B33" s="11" t="n">
        <v>8.1</v>
      </c>
      <c r="C33" s="11" t="n">
        <v>14.2</v>
      </c>
      <c r="D33" s="12" t="n">
        <v>30</v>
      </c>
      <c r="E33" s="12" t="n">
        <v>47.5</v>
      </c>
    </row>
    <row r="34">
      <c r="A34" s="8" t="inlineStr">
        <is>
          <t>19951</t>
        </is>
      </c>
      <c r="B34" s="11" t="n">
        <v>8.199999999999999</v>
      </c>
      <c r="C34" s="11" t="n">
        <v>13.3</v>
      </c>
      <c r="D34" s="12" t="n">
        <v>31</v>
      </c>
      <c r="E34" s="12" t="n">
        <v>29.5</v>
      </c>
    </row>
    <row r="35">
      <c r="A35" s="8" t="inlineStr">
        <is>
          <t>19979</t>
        </is>
      </c>
      <c r="B35" s="11" t="n">
        <v>8.4</v>
      </c>
      <c r="C35" s="11" t="n">
        <v>14</v>
      </c>
      <c r="D35" s="12" t="n">
        <v>32</v>
      </c>
      <c r="E35" s="12" t="n">
        <v>42</v>
      </c>
    </row>
    <row r="36">
      <c r="A36" s="8" t="inlineStr">
        <is>
          <t>19804</t>
        </is>
      </c>
      <c r="B36" s="11" t="n">
        <v>8.5</v>
      </c>
      <c r="C36" s="11" t="n">
        <v>12.5</v>
      </c>
      <c r="D36" s="12" t="n">
        <v>33.5</v>
      </c>
      <c r="E36" s="12" t="n">
        <v>22.5</v>
      </c>
    </row>
    <row r="37">
      <c r="A37" s="8" t="inlineStr">
        <is>
          <t>19943</t>
        </is>
      </c>
      <c r="B37" s="11" t="n">
        <v>8.5</v>
      </c>
      <c r="C37" s="11" t="n">
        <v>13.7</v>
      </c>
      <c r="D37" s="12" t="n">
        <v>33.5</v>
      </c>
      <c r="E37" s="12" t="n">
        <v>37</v>
      </c>
    </row>
    <row r="38">
      <c r="A38" s="8" t="inlineStr">
        <is>
          <t>19968</t>
        </is>
      </c>
      <c r="B38" s="11" t="n">
        <v>9.4</v>
      </c>
      <c r="C38" s="11" t="n">
        <v>13.2</v>
      </c>
      <c r="D38" s="12" t="n">
        <v>35</v>
      </c>
      <c r="E38" s="12" t="n">
        <v>27.5</v>
      </c>
    </row>
    <row r="39">
      <c r="A39" s="8" t="inlineStr">
        <is>
          <t>19977</t>
        </is>
      </c>
      <c r="B39" s="11" t="n">
        <v>9.5</v>
      </c>
      <c r="C39" s="11" t="n">
        <v>13.6</v>
      </c>
      <c r="D39" s="12" t="n">
        <v>36</v>
      </c>
      <c r="E39" s="12" t="n">
        <v>35.5</v>
      </c>
    </row>
    <row r="40">
      <c r="A40" s="8" t="inlineStr">
        <is>
          <t>19960</t>
        </is>
      </c>
      <c r="B40" s="11" t="n">
        <v>9.699999999999999</v>
      </c>
      <c r="C40" s="11" t="n">
        <v>13.5</v>
      </c>
      <c r="D40" s="12" t="n">
        <v>37</v>
      </c>
      <c r="E40" s="12" t="n">
        <v>33.5</v>
      </c>
    </row>
    <row r="41">
      <c r="A41" s="8" t="inlineStr">
        <is>
          <t>19806</t>
        </is>
      </c>
      <c r="B41" s="11" t="n">
        <v>9.9</v>
      </c>
      <c r="C41" s="11" t="n">
        <v>10.8</v>
      </c>
      <c r="D41" s="12" t="n">
        <v>38</v>
      </c>
      <c r="E41" s="12" t="n">
        <v>9</v>
      </c>
    </row>
    <row r="42">
      <c r="A42" s="8" t="inlineStr">
        <is>
          <t>19703</t>
        </is>
      </c>
      <c r="B42" s="11" t="n">
        <v>10.1</v>
      </c>
      <c r="C42" s="11" t="n">
        <v>11</v>
      </c>
      <c r="D42" s="12" t="n">
        <v>39</v>
      </c>
      <c r="E42" s="12" t="n">
        <v>11</v>
      </c>
    </row>
    <row r="43">
      <c r="A43" s="8" t="inlineStr">
        <is>
          <t>19720</t>
        </is>
      </c>
      <c r="B43" s="11" t="n">
        <v>10.9</v>
      </c>
      <c r="C43" s="11" t="n">
        <v>13.9</v>
      </c>
      <c r="D43" s="12" t="n">
        <v>40</v>
      </c>
      <c r="E43" s="12" t="n">
        <v>39</v>
      </c>
    </row>
    <row r="44">
      <c r="A44" s="8" t="inlineStr">
        <is>
          <t>19936</t>
        </is>
      </c>
      <c r="B44" s="11" t="n">
        <v>11.2</v>
      </c>
      <c r="C44" s="11" t="n">
        <v>18.2</v>
      </c>
      <c r="D44" s="12" t="n">
        <v>41</v>
      </c>
      <c r="E44" s="12" t="n">
        <v>62</v>
      </c>
    </row>
    <row r="45">
      <c r="A45" s="8" t="inlineStr">
        <is>
          <t>19947</t>
        </is>
      </c>
      <c r="B45" s="11" t="n">
        <v>11.7</v>
      </c>
      <c r="C45" s="11" t="n">
        <v>13.2</v>
      </c>
      <c r="D45" s="12" t="n">
        <v>42</v>
      </c>
      <c r="E45" s="12" t="n">
        <v>27.5</v>
      </c>
    </row>
    <row r="46">
      <c r="A46" s="8" t="inlineStr">
        <is>
          <t>19966</t>
        </is>
      </c>
      <c r="B46" s="11" t="n">
        <v>11.8</v>
      </c>
      <c r="C46" s="11" t="n">
        <v>14.2</v>
      </c>
      <c r="D46" s="12" t="n">
        <v>43</v>
      </c>
      <c r="E46" s="12" t="n">
        <v>47.5</v>
      </c>
    </row>
    <row r="47">
      <c r="A47" s="8" t="inlineStr">
        <is>
          <t>19963</t>
        </is>
      </c>
      <c r="B47" s="11" t="n">
        <v>11.9</v>
      </c>
      <c r="C47" s="11" t="n">
        <v>14.1</v>
      </c>
      <c r="D47" s="12" t="n">
        <v>44</v>
      </c>
      <c r="E47" s="12" t="n">
        <v>45.5</v>
      </c>
    </row>
    <row r="48">
      <c r="A48" s="8" t="inlineStr">
        <is>
          <t>19809</t>
        </is>
      </c>
      <c r="B48" s="11" t="n">
        <v>12.2</v>
      </c>
      <c r="C48" s="11" t="n">
        <v>11.5</v>
      </c>
      <c r="D48" s="12" t="n">
        <v>45</v>
      </c>
      <c r="E48" s="12" t="n">
        <v>15</v>
      </c>
    </row>
    <row r="49">
      <c r="A49" s="8" t="inlineStr">
        <is>
          <t>19713</t>
        </is>
      </c>
      <c r="B49" s="11" t="n">
        <v>12.4</v>
      </c>
      <c r="C49" s="11" t="n">
        <v>12.5</v>
      </c>
      <c r="D49" s="12" t="n">
        <v>46</v>
      </c>
      <c r="E49" s="12" t="n">
        <v>22.5</v>
      </c>
    </row>
    <row r="50">
      <c r="A50" s="8" t="inlineStr">
        <is>
          <t>19945</t>
        </is>
      </c>
      <c r="B50" s="11" t="n">
        <v>12.5</v>
      </c>
      <c r="C50" s="11" t="n">
        <v>12.5</v>
      </c>
      <c r="D50" s="12" t="n">
        <v>47</v>
      </c>
      <c r="E50" s="12" t="n">
        <v>22.5</v>
      </c>
    </row>
    <row r="51">
      <c r="A51" s="8" t="inlineStr">
        <is>
          <t>19970</t>
        </is>
      </c>
      <c r="B51" s="11" t="n">
        <v>12.6</v>
      </c>
      <c r="C51" s="11" t="n">
        <v>14.8</v>
      </c>
      <c r="D51" s="12" t="n">
        <v>48</v>
      </c>
      <c r="E51" s="12" t="n">
        <v>53</v>
      </c>
    </row>
    <row r="52">
      <c r="A52" s="8" t="inlineStr">
        <is>
          <t>19940</t>
        </is>
      </c>
      <c r="B52" s="11" t="n">
        <v>14</v>
      </c>
      <c r="C52" s="11" t="n">
        <v>12.2</v>
      </c>
      <c r="D52" s="12" t="n">
        <v>49</v>
      </c>
      <c r="E52" s="12" t="n">
        <v>19</v>
      </c>
    </row>
    <row r="53">
      <c r="A53" s="8" t="inlineStr">
        <is>
          <t>19901</t>
        </is>
      </c>
      <c r="B53" s="11" t="n">
        <v>14.2</v>
      </c>
      <c r="C53" s="11" t="n">
        <v>14.5</v>
      </c>
      <c r="D53" s="12" t="n">
        <v>50.5</v>
      </c>
      <c r="E53" s="12" t="n">
        <v>50</v>
      </c>
    </row>
    <row r="54">
      <c r="A54" s="8" t="inlineStr">
        <is>
          <t>19904</t>
        </is>
      </c>
      <c r="B54" s="11" t="n">
        <v>14.2</v>
      </c>
      <c r="C54" s="11" t="n">
        <v>15.1</v>
      </c>
      <c r="D54" s="12" t="n">
        <v>50.5</v>
      </c>
      <c r="E54" s="12" t="n">
        <v>55.5</v>
      </c>
    </row>
    <row r="55">
      <c r="A55" s="8" t="inlineStr">
        <is>
          <t>19956</t>
        </is>
      </c>
      <c r="B55" s="11" t="n">
        <v>15</v>
      </c>
      <c r="C55" s="11" t="n">
        <v>13.4</v>
      </c>
      <c r="D55" s="12" t="n">
        <v>52</v>
      </c>
      <c r="E55" s="12" t="n">
        <v>31.5</v>
      </c>
    </row>
    <row r="56">
      <c r="A56" s="8" t="inlineStr">
        <is>
          <t>19711</t>
        </is>
      </c>
      <c r="B56" s="11" t="n">
        <v>15.4</v>
      </c>
      <c r="C56" s="11" t="n">
        <v>9.6</v>
      </c>
      <c r="D56" s="12" t="n">
        <v>53</v>
      </c>
      <c r="E56" s="12" t="n">
        <v>3</v>
      </c>
    </row>
    <row r="57">
      <c r="A57" s="8" t="inlineStr">
        <is>
          <t>19941</t>
        </is>
      </c>
      <c r="B57" s="11" t="n">
        <v>16.1</v>
      </c>
      <c r="C57" s="11" t="n">
        <v>14.1</v>
      </c>
      <c r="D57" s="12" t="n">
        <v>54</v>
      </c>
      <c r="E57" s="12" t="n">
        <v>45.5</v>
      </c>
    </row>
    <row r="58">
      <c r="A58" s="8" t="inlineStr">
        <is>
          <t>19973</t>
        </is>
      </c>
      <c r="B58" s="11" t="n">
        <v>16.7</v>
      </c>
      <c r="C58" s="11" t="n">
        <v>15</v>
      </c>
      <c r="D58" s="12" t="n">
        <v>55</v>
      </c>
      <c r="E58" s="12" t="n">
        <v>54</v>
      </c>
    </row>
    <row r="59">
      <c r="A59" s="8" t="inlineStr">
        <is>
          <t>19933</t>
        </is>
      </c>
      <c r="B59" s="11" t="n">
        <v>19.2</v>
      </c>
      <c r="C59" s="11" t="n">
        <v>15.3</v>
      </c>
      <c r="D59" s="12" t="n">
        <v>56</v>
      </c>
      <c r="E59" s="12" t="n">
        <v>57</v>
      </c>
    </row>
    <row r="60">
      <c r="A60" s="8" t="inlineStr">
        <is>
          <t>19805</t>
        </is>
      </c>
      <c r="B60" s="11" t="n">
        <v>19.6</v>
      </c>
      <c r="C60" s="11" t="n">
        <v>14</v>
      </c>
      <c r="D60" s="12" t="n">
        <v>57</v>
      </c>
      <c r="E60" s="12" t="n">
        <v>42</v>
      </c>
    </row>
    <row r="61">
      <c r="A61" s="8" t="inlineStr">
        <is>
          <t>19802</t>
        </is>
      </c>
      <c r="B61" s="11" t="n">
        <v>22</v>
      </c>
      <c r="C61" s="11" t="n">
        <v>17.3</v>
      </c>
      <c r="D61" s="12" t="n">
        <v>58</v>
      </c>
      <c r="E61" s="12" t="n">
        <v>59</v>
      </c>
    </row>
    <row r="62">
      <c r="A62" s="8" t="inlineStr">
        <is>
          <t>19801</t>
        </is>
      </c>
      <c r="B62" s="11" t="n">
        <v>25.4</v>
      </c>
      <c r="C62" s="11" t="n">
        <v>17.9</v>
      </c>
      <c r="D62" s="12" t="n">
        <v>59</v>
      </c>
      <c r="E62" s="12" t="n">
        <v>60</v>
      </c>
    </row>
    <row r="63">
      <c r="A63" s="8" t="inlineStr">
        <is>
          <t>19954</t>
        </is>
      </c>
      <c r="B63" s="11" t="n">
        <v>26.3</v>
      </c>
      <c r="C63" s="11" t="n">
        <v>16.7</v>
      </c>
      <c r="D63" s="12" t="n">
        <v>60</v>
      </c>
      <c r="E63" s="12" t="n">
        <v>58</v>
      </c>
    </row>
    <row r="64">
      <c r="A64" s="8" t="inlineStr">
        <is>
          <t>19980</t>
        </is>
      </c>
      <c r="B64" s="11" t="n">
        <v>29.9</v>
      </c>
      <c r="C64" s="11" t="n">
        <v>15.1</v>
      </c>
      <c r="D64" s="12" t="n">
        <v>61</v>
      </c>
      <c r="E64" s="12" t="n">
        <v>55.5</v>
      </c>
    </row>
    <row r="65">
      <c r="A65" s="8" t="inlineStr">
        <is>
          <t>19732</t>
        </is>
      </c>
      <c r="B65" s="11" t="n">
        <v>30.3</v>
      </c>
      <c r="C65" s="11" t="n">
        <v>9.4</v>
      </c>
      <c r="D65" s="12" t="n">
        <v>62</v>
      </c>
      <c r="E65" s="12" t="n">
        <v>1</v>
      </c>
    </row>
    <row r="66"/>
    <row r="67">
      <c r="A67" s="13" t="inlineStr">
        <is>
          <t>Calculation</t>
        </is>
      </c>
      <c r="B67" s="13" t="inlineStr">
        <is>
          <t>Formula (as entered)</t>
        </is>
      </c>
      <c r="C67" s="13" t="inlineStr">
        <is>
          <t>Excel value</t>
        </is>
      </c>
      <c r="D67" s="13" t="inlineStr">
        <is>
          <t>Python value (check)</t>
        </is>
      </c>
    </row>
    <row r="68">
      <c r="A68" s="8" t="inlineStr">
        <is>
          <t>n (pairwise-complete)</t>
        </is>
      </c>
      <c r="B68" s="14" t="inlineStr">
        <is>
          <t>COUNT(B4:B65)</t>
        </is>
      </c>
      <c r="C68" s="15">
        <f>COUNT(B4:B65)</f>
        <v/>
      </c>
      <c r="D68" s="15" t="n">
        <v>62</v>
      </c>
    </row>
    <row r="69">
      <c r="A69" s="8" t="inlineStr">
        <is>
          <t>Mean of X (poverty %)</t>
        </is>
      </c>
      <c r="B69" s="14" t="inlineStr">
        <is>
          <t>AVERAGE(B4:B65)</t>
        </is>
      </c>
      <c r="C69" s="16">
        <f>AVERAGE(B4:B65)</f>
        <v/>
      </c>
      <c r="D69" s="16" t="n">
        <v>9.875806451612901</v>
      </c>
    </row>
    <row r="70">
      <c r="A70" s="8" t="inlineStr">
        <is>
          <t>Mean of Y (diabetes %)</t>
        </is>
      </c>
      <c r="B70" s="14" t="inlineStr">
        <is>
          <t>AVERAGE(C4:C65)</t>
        </is>
      </c>
      <c r="C70" s="16">
        <f>AVERAGE(C4:C65)</f>
        <v/>
      </c>
      <c r="D70" s="16" t="n">
        <v>13.17741935483871</v>
      </c>
    </row>
    <row r="71">
      <c r="A71" s="8" t="inlineStr">
        <is>
          <t>Covariance(X, Y)  [population]</t>
        </is>
      </c>
      <c r="B71" s="14" t="inlineStr">
        <is>
          <t>COVAR(B4:B65,C4:C65)</t>
        </is>
      </c>
      <c r="C71" s="16">
        <f>COVAR(B4:B65,C4:C65)</f>
        <v/>
      </c>
      <c r="D71" s="16" t="n">
        <v>4.546389177939644</v>
      </c>
    </row>
    <row r="72">
      <c r="A72" s="8" t="inlineStr">
        <is>
          <t>Std dev of X  [population]</t>
        </is>
      </c>
      <c r="B72" s="14" t="inlineStr">
        <is>
          <t>STDEVP(B4:B65)</t>
        </is>
      </c>
      <c r="C72" s="16">
        <f>STDEVP(B4:B65)</f>
        <v/>
      </c>
      <c r="D72" s="16" t="n">
        <v>6.72836282353439</v>
      </c>
    </row>
    <row r="73">
      <c r="A73" s="8" t="inlineStr">
        <is>
          <t>Std dev of Y  [population]</t>
        </is>
      </c>
      <c r="B73" s="14" t="inlineStr">
        <is>
          <t>STDEVP(C4:C65)</t>
        </is>
      </c>
      <c r="C73" s="16">
        <f>STDEVP(C4:C65)</f>
        <v/>
      </c>
      <c r="D73" s="16" t="n">
        <v>2.03393939666422</v>
      </c>
    </row>
    <row r="74">
      <c r="A74" s="8" t="inlineStr">
        <is>
          <t>Pearson r  = COVAR / (STDEVP * STDEVP)</t>
        </is>
      </c>
      <c r="B74" s="14" t="inlineStr">
        <is>
          <t>COVAR(B4:B65,C4:C65)/(STDEVP(B4:B65)*STDEVP(C4:C65))</t>
        </is>
      </c>
      <c r="C74" s="9">
        <f>COVAR(B4:B65,C4:C65)/(STDEVP(B4:B65)*STDEVP(C4:C65))</f>
        <v/>
      </c>
      <c r="D74" s="9" t="n">
        <v>0.332214969865866</v>
      </c>
    </row>
    <row r="75">
      <c r="A75" s="8" t="inlineStr">
        <is>
          <t>Pearson r  (CORREL)</t>
        </is>
      </c>
      <c r="B75" s="14" t="inlineStr">
        <is>
          <t>CORREL(B4:B65,C4:C65)</t>
        </is>
      </c>
      <c r="C75" s="9">
        <f>CORREL(B4:B65,C4:C65)</f>
        <v/>
      </c>
      <c r="D75" s="9" t="n">
        <v>0.332214969865866</v>
      </c>
    </row>
    <row r="76">
      <c r="A76" s="8" t="inlineStr">
        <is>
          <t>Spearman rho  = CORREL(rank X, rank Y)</t>
        </is>
      </c>
      <c r="B76" s="14" t="inlineStr">
        <is>
          <t>CORREL(D4:D65,E4:E65)</t>
        </is>
      </c>
      <c r="C76" s="9">
        <f>CORREL(D4:D65,E4:E65)</f>
        <v/>
      </c>
      <c r="D76" s="9" t="n">
        <v>0.3735463831307179</v>
      </c>
    </row>
    <row r="77">
      <c r="A77" s="8" t="inlineStr">
        <is>
          <t>Pearson p-value  (H0: rho = 0)</t>
        </is>
      </c>
      <c r="B77" s="14" t="inlineStr">
        <is>
          <t>T.DIST.2T(ABS(CORREL(B4:B65,C4:C65)*SQRT((COUNT(B4:B65)-2)/(1-CORREL(B4:B65,C4:C65)^2))),COUNT(B4:B65)-2)</t>
        </is>
      </c>
      <c r="C77" s="9">
        <f>T.DIST.2T(ABS(CORREL(B4:B65,C4:C65)*SQRT((COUNT(B4:B65)-2)/(1-CORREL(B4:B65,C4:C65)^2))),COUNT(B4:B65)-2)</f>
        <v/>
      </c>
      <c r="D77" s="9" t="n">
        <v>0.008339380777128255</v>
      </c>
    </row>
    <row r="78">
      <c r="A78" s="8" t="inlineStr">
        <is>
          <t>Spearman p-value  (H0: rho = 0)</t>
        </is>
      </c>
      <c r="B78" s="14" t="inlineStr">
        <is>
          <t>T.DIST.2T(ABS(CORREL(D4:D65,E4:E65)*SQRT((COUNT(B4:B65)-2)/(1-CORREL(D4:D65,E4:E65)^2))),COUNT(B4:B65)-2)</t>
        </is>
      </c>
      <c r="C78" s="9">
        <f>T.DIST.2T(ABS(CORREL(D4:D65,E4:E65)*SQRT((COUNT(B4:B65)-2)/(1-CORREL(D4:D65,E4:E65)^2))),COUNT(B4:B65)-2)</f>
        <v/>
      </c>
      <c r="D78" s="9" t="n">
        <v>0.002785064034938067</v>
      </c>
    </row>
    <row r="79">
      <c r="A79" s="8" t="inlineStr">
        <is>
          <t>Pearson 95% CI lower  (Fisher z)</t>
        </is>
      </c>
      <c r="B79" s="14" t="inlineStr">
        <is>
          <t>(EXP(2*(0.5*LN((1+CORREL(B4:B65,C4:C65))/(1-CORREL(B4:B65,C4:C65)))-1.96*1/SQRT(COUNT(B4:B65)-3)))-1)/(EXP(2*(0.5*LN((1+CORREL(B4:B65,C4:C65))/(1-CORREL(B4:B65,C4:C65)))-1.96*1/SQRT(COUNT(B4:B65)-3)))+1)</t>
        </is>
      </c>
      <c r="C79" s="9">
        <f>(EXP(2*(0.5*LN((1+CORREL(B4:B65,C4:C65))/(1-CORREL(B4:B65,C4:C65)))-1.96*1/SQRT(COUNT(B4:B65)-3)))-1)/(EXP(2*(0.5*LN((1+CORREL(B4:B65,C4:C65))/(1-CORREL(B4:B65,C4:C65)))-1.96*1/SQRT(COUNT(B4:B65)-3)))+1)</f>
        <v/>
      </c>
      <c r="D79" s="9" t="n">
        <v>0.08990695263106759</v>
      </c>
    </row>
    <row r="80">
      <c r="A80" s="8" t="inlineStr">
        <is>
          <t>Pearson 95% CI upper  (Fisher z)</t>
        </is>
      </c>
      <c r="B80" s="14" t="inlineStr">
        <is>
          <t>(EXP(2*(0.5*LN((1+CORREL(B4:B65,C4:C65))/(1-CORREL(B4:B65,C4:C65)))+1.96*1/SQRT(COUNT(B4:B65)-3)))-1)/(EXP(2*(0.5*LN((1+CORREL(B4:B65,C4:C65))/(1-CORREL(B4:B65,C4:C65)))+1.96*1/SQRT(COUNT(B4:B65)-3)))+1)</t>
        </is>
      </c>
      <c r="C80" s="9">
        <f>(EXP(2*(0.5*LN((1+CORREL(B4:B65,C4:C65))/(1-CORREL(B4:B65,C4:C65)))+1.96*1/SQRT(COUNT(B4:B65)-3)))-1)/(EXP(2*(0.5*LN((1+CORREL(B4:B65,C4:C65))/(1-CORREL(B4:B65,C4:C65)))+1.96*1/SQRT(COUNT(B4:B65)-3)))+1)</f>
        <v/>
      </c>
      <c r="D80" s="9" t="n">
        <v>0.5373921278796537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9" customWidth="1" min="3" max="3"/>
    <col width="31" customWidth="1" min="4" max="4"/>
    <col width="19" customWidth="1" min="5" max="5"/>
    <col width="17" customWidth="1" min="6" max="6"/>
    <col width="36" customWidth="1" min="7" max="7"/>
    <col width="42" customWidth="1" min="8" max="8"/>
    <col width="18" customWidth="1" min="9" max="9"/>
    <col width="38" customWidth="1" min="10" max="10"/>
    <col width="33" customWidth="1" min="11" max="11"/>
    <col width="15" customWidth="1" min="12" max="12"/>
    <col width="17" customWidth="1" min="13" max="13"/>
    <col width="30" customWidth="1" min="14" max="14"/>
    <col width="35" customWidth="1" min="15" max="15"/>
    <col width="26" customWidth="1" min="16" max="16"/>
  </cols>
  <sheetData>
    <row r="1">
      <c r="A1" s="5" t="inlineStr">
        <is>
          <t>ZCTA</t>
        </is>
      </c>
      <c r="B1" s="5" t="inlineStr">
        <is>
          <t>County</t>
        </is>
      </c>
      <c r="C1" s="5" t="inlineStr">
        <is>
          <t>Poverty % (ACS DP03_0128PE)</t>
        </is>
      </c>
      <c r="D1" s="5" t="inlineStr">
        <is>
          <t>Median household income (ACS)</t>
        </is>
      </c>
      <c r="E1" s="5" t="inlineStr">
        <is>
          <t>Uninsured % (ACS)</t>
        </is>
      </c>
      <c r="F1" s="5" t="inlineStr">
        <is>
          <t>Age 65+ % (ACS)</t>
        </is>
      </c>
      <c r="G1" s="5" t="inlineStr">
        <is>
          <t>Non-English spoken at home % (ACS)</t>
        </is>
      </c>
      <c r="H1" s="5" t="inlineStr">
        <is>
          <t>Diagnosed diabetes among adults (PLACES)</t>
        </is>
      </c>
      <c r="I1" s="5" t="inlineStr">
        <is>
          <t>Obesity (PLACES)</t>
        </is>
      </c>
      <c r="J1" s="5" t="inlineStr">
        <is>
          <t>Fair/poor self-rated health (PLACES)</t>
        </is>
      </c>
      <c r="K1" s="5" t="inlineStr">
        <is>
          <t>Coronary heart disease (PLACES)</t>
        </is>
      </c>
      <c r="L1" s="5" t="inlineStr">
        <is>
          <t>COPD (PLACES)</t>
        </is>
      </c>
      <c r="M1" s="5" t="inlineStr">
        <is>
          <t>Stroke (PLACES)</t>
        </is>
      </c>
      <c r="N1" s="5" t="inlineStr">
        <is>
          <t>Physical inactivity (PLACES)</t>
        </is>
      </c>
      <c r="O1" s="5" t="inlineStr">
        <is>
          <t>Frequent mental distress (PLACES)</t>
        </is>
      </c>
      <c r="P1" s="5" t="inlineStr">
        <is>
          <t>Current smoking (PLACES)</t>
        </is>
      </c>
    </row>
    <row r="2">
      <c r="A2" s="8" t="inlineStr">
        <is>
          <t>19975</t>
        </is>
      </c>
      <c r="B2" s="8" t="inlineStr">
        <is>
          <t>Sussex</t>
        </is>
      </c>
      <c r="C2" s="8" t="n">
        <v>4.4</v>
      </c>
      <c r="D2" s="8" t="n">
        <v>88568</v>
      </c>
      <c r="E2" s="8" t="n">
        <v>7.8</v>
      </c>
      <c r="F2" s="8" t="n">
        <v>39.7</v>
      </c>
      <c r="G2" s="8" t="n">
        <v>12.3</v>
      </c>
      <c r="H2" s="8" t="n">
        <v>13.6</v>
      </c>
      <c r="I2" s="8" t="n">
        <v>31.3</v>
      </c>
      <c r="J2" s="8" t="n">
        <v>17.3</v>
      </c>
      <c r="K2" s="8" t="n">
        <v>9.1</v>
      </c>
      <c r="L2" s="8" t="n">
        <v>8.199999999999999</v>
      </c>
      <c r="M2" s="8" t="n">
        <v>4.2</v>
      </c>
      <c r="N2" s="8" t="n">
        <v>25.1</v>
      </c>
      <c r="O2" s="8" t="n">
        <v>11.8</v>
      </c>
      <c r="P2" s="8" t="n">
        <v>11.6</v>
      </c>
    </row>
    <row r="3">
      <c r="A3" s="8" t="inlineStr">
        <is>
          <t>19944</t>
        </is>
      </c>
      <c r="B3" s="8" t="inlineStr">
        <is>
          <t>Sussex</t>
        </is>
      </c>
      <c r="C3" s="8" t="n">
        <v>1.9</v>
      </c>
      <c r="D3" s="8" t="n">
        <v>121250</v>
      </c>
      <c r="E3" s="8" t="n">
        <v>1.6</v>
      </c>
      <c r="F3" s="8" t="n">
        <v>64.3</v>
      </c>
      <c r="G3" s="8" t="n">
        <v>1.1</v>
      </c>
      <c r="H3" s="8" t="n">
        <v>12.9</v>
      </c>
      <c r="I3" s="8" t="n">
        <v>26.7</v>
      </c>
      <c r="J3" s="8" t="n">
        <v>15.3</v>
      </c>
      <c r="K3" s="8" t="n">
        <v>10.2</v>
      </c>
      <c r="L3" s="8" t="n">
        <v>7.9</v>
      </c>
      <c r="M3" s="8" t="n">
        <v>4.4</v>
      </c>
      <c r="N3" s="8" t="n">
        <v>22.3</v>
      </c>
      <c r="O3" s="8" t="n">
        <v>10</v>
      </c>
      <c r="P3" s="8" t="n">
        <v>8.5</v>
      </c>
    </row>
    <row r="4">
      <c r="A4" s="8" t="inlineStr">
        <is>
          <t>19940</t>
        </is>
      </c>
      <c r="B4" s="8" t="inlineStr">
        <is>
          <t>Sussex</t>
        </is>
      </c>
      <c r="C4" s="8" t="n">
        <v>14</v>
      </c>
      <c r="D4" s="8" t="n">
        <v>65024</v>
      </c>
      <c r="E4" s="8" t="n">
        <v>8.5</v>
      </c>
      <c r="F4" s="8" t="n">
        <v>17.4</v>
      </c>
      <c r="G4" s="8" t="n">
        <v>10.6</v>
      </c>
      <c r="H4" s="8" t="n">
        <v>12.2</v>
      </c>
      <c r="I4" s="8" t="n">
        <v>35</v>
      </c>
      <c r="J4" s="8" t="n">
        <v>20.1</v>
      </c>
      <c r="K4" s="8" t="n">
        <v>7.3</v>
      </c>
      <c r="L4" s="8" t="n">
        <v>8.4</v>
      </c>
      <c r="M4" s="8" t="n">
        <v>3.8</v>
      </c>
      <c r="N4" s="8" t="n">
        <v>28.1</v>
      </c>
      <c r="O4" s="8" t="n">
        <v>16.6</v>
      </c>
      <c r="P4" s="8" t="n">
        <v>16.9</v>
      </c>
    </row>
    <row r="5">
      <c r="A5" s="8" t="inlineStr">
        <is>
          <t>19956</t>
        </is>
      </c>
      <c r="B5" s="8" t="inlineStr">
        <is>
          <t>Sussex</t>
        </is>
      </c>
      <c r="C5" s="8" t="n">
        <v>15</v>
      </c>
      <c r="D5" s="8" t="n">
        <v>65603</v>
      </c>
      <c r="E5" s="8" t="n">
        <v>5.1</v>
      </c>
      <c r="F5" s="8" t="n">
        <v>17.9</v>
      </c>
      <c r="G5" s="8" t="n">
        <v>13.6</v>
      </c>
      <c r="H5" s="8" t="n">
        <v>13.4</v>
      </c>
      <c r="I5" s="8" t="n">
        <v>37.1</v>
      </c>
      <c r="J5" s="8" t="n">
        <v>23.1</v>
      </c>
      <c r="K5" s="8" t="n">
        <v>8</v>
      </c>
      <c r="L5" s="8" t="n">
        <v>9.5</v>
      </c>
      <c r="M5" s="8" t="n">
        <v>4.2</v>
      </c>
      <c r="N5" s="8" t="n">
        <v>31.2</v>
      </c>
      <c r="O5" s="8" t="n">
        <v>17.6</v>
      </c>
      <c r="P5" s="8" t="n">
        <v>18.6</v>
      </c>
    </row>
    <row r="6">
      <c r="A6" s="8" t="inlineStr">
        <is>
          <t>19931</t>
        </is>
      </c>
      <c r="B6" s="8" t="inlineStr">
        <is>
          <t>Sussex</t>
        </is>
      </c>
      <c r="C6" s="8" t="n">
        <v>0.5</v>
      </c>
      <c r="D6" s="8" t="n">
        <v>99375</v>
      </c>
      <c r="E6" s="8" t="n">
        <v>2.7</v>
      </c>
      <c r="F6" s="8" t="n">
        <v>22.7</v>
      </c>
      <c r="G6" s="8" t="n">
        <v>17.9</v>
      </c>
      <c r="H6" s="8" t="n">
        <v>18.1</v>
      </c>
      <c r="I6" s="8" t="n">
        <v>38.1</v>
      </c>
      <c r="J6" s="8" t="n">
        <v>27.6</v>
      </c>
      <c r="K6" s="8" t="n">
        <v>12.6</v>
      </c>
      <c r="L6" s="8" t="n">
        <v>14</v>
      </c>
      <c r="M6" s="8" t="n">
        <v>6.2</v>
      </c>
      <c r="N6" s="8" t="n">
        <v>36.2</v>
      </c>
      <c r="O6" s="8" t="n">
        <v>16.3</v>
      </c>
      <c r="P6" s="8" t="n">
        <v>20.6</v>
      </c>
    </row>
    <row r="7">
      <c r="A7" s="8" t="inlineStr">
        <is>
          <t>19945</t>
        </is>
      </c>
      <c r="B7" s="8" t="inlineStr">
        <is>
          <t>Sussex</t>
        </is>
      </c>
      <c r="C7" s="8" t="n">
        <v>12.5</v>
      </c>
      <c r="D7" s="8" t="n">
        <v>87638</v>
      </c>
      <c r="E7" s="8" t="n">
        <v>11.7</v>
      </c>
      <c r="F7" s="8" t="n">
        <v>36.4</v>
      </c>
      <c r="G7" s="8" t="n">
        <v>13.6</v>
      </c>
      <c r="H7" s="8" t="n">
        <v>12.5</v>
      </c>
      <c r="I7" s="8" t="n">
        <v>32.7</v>
      </c>
      <c r="J7" s="8" t="n">
        <v>17.3</v>
      </c>
      <c r="K7" s="8" t="n">
        <v>7.6</v>
      </c>
      <c r="L7" s="8" t="n">
        <v>7.4</v>
      </c>
      <c r="M7" s="8" t="n">
        <v>3.7</v>
      </c>
      <c r="N7" s="8" t="n">
        <v>24.8</v>
      </c>
      <c r="O7" s="8" t="n">
        <v>13.6</v>
      </c>
      <c r="P7" s="8" t="n">
        <v>12.5</v>
      </c>
    </row>
    <row r="8">
      <c r="A8" s="8" t="inlineStr">
        <is>
          <t>19967</t>
        </is>
      </c>
      <c r="B8" s="8" t="inlineStr">
        <is>
          <t>Sussex</t>
        </is>
      </c>
      <c r="C8" s="8" t="n">
        <v>5.9</v>
      </c>
      <c r="D8" s="8" t="n">
        <v>98301</v>
      </c>
      <c r="E8" s="8" t="n">
        <v>3.7</v>
      </c>
      <c r="F8" s="8" t="n">
        <v>49.7</v>
      </c>
      <c r="G8" s="8" t="n">
        <v>5.9</v>
      </c>
      <c r="H8" s="8" t="n">
        <v>14.6</v>
      </c>
      <c r="I8" s="8" t="n">
        <v>32</v>
      </c>
      <c r="J8" s="8" t="n">
        <v>17.2</v>
      </c>
      <c r="K8" s="8" t="n">
        <v>9.6</v>
      </c>
      <c r="L8" s="8" t="n">
        <v>9.199999999999999</v>
      </c>
      <c r="M8" s="8" t="n">
        <v>4.4</v>
      </c>
      <c r="N8" s="8" t="n">
        <v>24.5</v>
      </c>
      <c r="O8" s="8" t="n">
        <v>11.5</v>
      </c>
      <c r="P8" s="8" t="n">
        <v>12</v>
      </c>
    </row>
    <row r="9">
      <c r="A9" s="8" t="inlineStr">
        <is>
          <t>19930</t>
        </is>
      </c>
      <c r="B9" s="8" t="inlineStr">
        <is>
          <t>Sussex</t>
        </is>
      </c>
      <c r="C9" s="8" t="n">
        <v>2.5</v>
      </c>
      <c r="D9" s="8" t="n">
        <v>125491</v>
      </c>
      <c r="E9" s="8" t="n">
        <v>1.6</v>
      </c>
      <c r="F9" s="8" t="n">
        <v>62.1</v>
      </c>
      <c r="G9" s="8" t="n">
        <v>8.699999999999999</v>
      </c>
      <c r="H9" s="8" t="n">
        <v>12.3</v>
      </c>
      <c r="I9" s="8" t="n">
        <v>26.8</v>
      </c>
      <c r="J9" s="8" t="n">
        <v>12.9</v>
      </c>
      <c r="K9" s="8" t="n">
        <v>9.199999999999999</v>
      </c>
      <c r="L9" s="8" t="n">
        <v>6.6</v>
      </c>
      <c r="M9" s="8" t="n">
        <v>3.9</v>
      </c>
      <c r="N9" s="8" t="n">
        <v>19.4</v>
      </c>
      <c r="O9" s="8" t="n">
        <v>9.1</v>
      </c>
      <c r="P9" s="8" t="n">
        <v>6.9</v>
      </c>
    </row>
    <row r="10">
      <c r="A10" s="8" t="inlineStr">
        <is>
          <t>19970</t>
        </is>
      </c>
      <c r="B10" s="8" t="inlineStr">
        <is>
          <t>Sussex</t>
        </is>
      </c>
      <c r="C10" s="8" t="n">
        <v>12.6</v>
      </c>
      <c r="D10" s="8" t="n">
        <v>94103</v>
      </c>
      <c r="E10" s="8" t="n">
        <v>3.9</v>
      </c>
      <c r="F10" s="8" t="n">
        <v>48.1</v>
      </c>
      <c r="G10" s="8" t="n">
        <v>6.3</v>
      </c>
      <c r="H10" s="8" t="n">
        <v>14.8</v>
      </c>
      <c r="I10" s="8" t="n">
        <v>31.2</v>
      </c>
      <c r="J10" s="8" t="n">
        <v>17.8</v>
      </c>
      <c r="K10" s="8" t="n">
        <v>10.4</v>
      </c>
      <c r="L10" s="8" t="n">
        <v>9.4</v>
      </c>
      <c r="M10" s="8" t="n">
        <v>4.7</v>
      </c>
      <c r="N10" s="8" t="n">
        <v>25.3</v>
      </c>
      <c r="O10" s="8" t="n">
        <v>11.3</v>
      </c>
      <c r="P10" s="8" t="n">
        <v>11.4</v>
      </c>
    </row>
    <row r="11">
      <c r="A11" s="8" t="inlineStr">
        <is>
          <t>19966</t>
        </is>
      </c>
      <c r="B11" s="8" t="inlineStr">
        <is>
          <t>Sussex</t>
        </is>
      </c>
      <c r="C11" s="8" t="n">
        <v>11.8</v>
      </c>
      <c r="D11" s="8" t="n">
        <v>78305</v>
      </c>
      <c r="E11" s="8" t="n">
        <v>7.8</v>
      </c>
      <c r="F11" s="8" t="n">
        <v>32.9</v>
      </c>
      <c r="G11" s="8" t="n">
        <v>13.2</v>
      </c>
      <c r="H11" s="8" t="n">
        <v>14.2</v>
      </c>
      <c r="I11" s="8" t="n">
        <v>34.1</v>
      </c>
      <c r="J11" s="8" t="n">
        <v>20.3</v>
      </c>
      <c r="K11" s="8" t="n">
        <v>9.1</v>
      </c>
      <c r="L11" s="8" t="n">
        <v>9.4</v>
      </c>
      <c r="M11" s="8" t="n">
        <v>4.5</v>
      </c>
      <c r="N11" s="8" t="n">
        <v>28.3</v>
      </c>
      <c r="O11" s="8" t="n">
        <v>14.3</v>
      </c>
      <c r="P11" s="8" t="n">
        <v>14.7</v>
      </c>
    </row>
    <row r="12">
      <c r="A12" s="8" t="inlineStr">
        <is>
          <t>19939</t>
        </is>
      </c>
      <c r="B12" s="8" t="inlineStr">
        <is>
          <t>Sussex</t>
        </is>
      </c>
      <c r="C12" s="8" t="n">
        <v>5.4</v>
      </c>
      <c r="D12" s="8" t="n">
        <v>89806</v>
      </c>
      <c r="E12" s="8" t="n">
        <v>6.2</v>
      </c>
      <c r="F12" s="8" t="n">
        <v>36.7</v>
      </c>
      <c r="G12" s="8" t="n">
        <v>3.3</v>
      </c>
      <c r="H12" s="8" t="n">
        <v>13.8</v>
      </c>
      <c r="I12" s="8" t="n">
        <v>33.2</v>
      </c>
      <c r="J12" s="8" t="n">
        <v>19.2</v>
      </c>
      <c r="K12" s="8" t="n">
        <v>9.300000000000001</v>
      </c>
      <c r="L12" s="8" t="n">
        <v>9.1</v>
      </c>
      <c r="M12" s="8" t="n">
        <v>4.4</v>
      </c>
      <c r="N12" s="8" t="n">
        <v>27</v>
      </c>
      <c r="O12" s="8" t="n">
        <v>13.6</v>
      </c>
      <c r="P12" s="8" t="n">
        <v>13.9</v>
      </c>
    </row>
    <row r="13">
      <c r="A13" s="8" t="inlineStr">
        <is>
          <t>19971</t>
        </is>
      </c>
      <c r="B13" s="8" t="inlineStr">
        <is>
          <t>Sussex</t>
        </is>
      </c>
      <c r="C13" s="8" t="n">
        <v>7.7</v>
      </c>
      <c r="D13" s="8" t="n">
        <v>102146</v>
      </c>
      <c r="E13" s="8" t="n">
        <v>2.8</v>
      </c>
      <c r="F13" s="8" t="n">
        <v>42</v>
      </c>
      <c r="G13" s="8" t="n">
        <v>5.9</v>
      </c>
      <c r="H13" s="8" t="n">
        <v>11.9</v>
      </c>
      <c r="I13" s="8" t="n">
        <v>29.3</v>
      </c>
      <c r="J13" s="8" t="n">
        <v>13.9</v>
      </c>
      <c r="K13" s="8" t="n">
        <v>8.1</v>
      </c>
      <c r="L13" s="8" t="n">
        <v>6.7</v>
      </c>
      <c r="M13" s="8" t="n">
        <v>3.6</v>
      </c>
      <c r="N13" s="8" t="n">
        <v>20.5</v>
      </c>
      <c r="O13" s="8" t="n">
        <v>10.8</v>
      </c>
      <c r="P13" s="8" t="n">
        <v>9.1</v>
      </c>
    </row>
    <row r="14">
      <c r="A14" s="8" t="inlineStr">
        <is>
          <t>19951</t>
        </is>
      </c>
      <c r="B14" s="8" t="inlineStr">
        <is>
          <t>Sussex</t>
        </is>
      </c>
      <c r="C14" s="8" t="n">
        <v>8.199999999999999</v>
      </c>
      <c r="D14" s="8" t="n">
        <v>95546</v>
      </c>
      <c r="E14" s="8" t="n">
        <v>4</v>
      </c>
      <c r="F14" s="8" t="n">
        <v>30.9</v>
      </c>
      <c r="G14" s="8" t="n">
        <v>6.4</v>
      </c>
      <c r="H14" s="8" t="n">
        <v>13.3</v>
      </c>
      <c r="I14" s="8" t="n">
        <v>32.3</v>
      </c>
      <c r="J14" s="8" t="n">
        <v>17.5</v>
      </c>
      <c r="K14" s="8" t="n">
        <v>8.800000000000001</v>
      </c>
      <c r="L14" s="8" t="n">
        <v>8.199999999999999</v>
      </c>
      <c r="M14" s="8" t="n">
        <v>4.1</v>
      </c>
      <c r="N14" s="8" t="n">
        <v>24.9</v>
      </c>
      <c r="O14" s="8" t="n">
        <v>12.8</v>
      </c>
      <c r="P14" s="8" t="n">
        <v>12.6</v>
      </c>
    </row>
    <row r="15">
      <c r="A15" s="8" t="inlineStr">
        <is>
          <t>19958</t>
        </is>
      </c>
      <c r="B15" s="8" t="inlineStr">
        <is>
          <t>Sussex</t>
        </is>
      </c>
      <c r="C15" s="8" t="n">
        <v>6</v>
      </c>
      <c r="D15" s="8" t="n">
        <v>97197</v>
      </c>
      <c r="E15" s="8" t="n">
        <v>3.1</v>
      </c>
      <c r="F15" s="8" t="n">
        <v>42.4</v>
      </c>
      <c r="G15" s="8" t="n">
        <v>8.199999999999999</v>
      </c>
      <c r="H15" s="8" t="n">
        <v>13.4</v>
      </c>
      <c r="I15" s="8" t="n">
        <v>30.7</v>
      </c>
      <c r="J15" s="8" t="n">
        <v>16.5</v>
      </c>
      <c r="K15" s="8" t="n">
        <v>9.199999999999999</v>
      </c>
      <c r="L15" s="8" t="n">
        <v>8.199999999999999</v>
      </c>
      <c r="M15" s="8" t="n">
        <v>4.2</v>
      </c>
      <c r="N15" s="8" t="n">
        <v>23.9</v>
      </c>
      <c r="O15" s="8" t="n">
        <v>11.5</v>
      </c>
      <c r="P15" s="8" t="n">
        <v>10.8</v>
      </c>
    </row>
    <row r="16">
      <c r="A16" s="8" t="inlineStr">
        <is>
          <t>19968</t>
        </is>
      </c>
      <c r="B16" s="8" t="inlineStr">
        <is>
          <t>Sussex</t>
        </is>
      </c>
      <c r="C16" s="8" t="n">
        <v>9.4</v>
      </c>
      <c r="D16" s="8" t="n">
        <v>87163</v>
      </c>
      <c r="E16" s="8" t="n">
        <v>4.2</v>
      </c>
      <c r="F16" s="8" t="n">
        <v>32.7</v>
      </c>
      <c r="G16" s="8" t="n">
        <v>9</v>
      </c>
      <c r="H16" s="8" t="n">
        <v>13.2</v>
      </c>
      <c r="I16" s="8" t="n">
        <v>32.7</v>
      </c>
      <c r="J16" s="8" t="n">
        <v>17.7</v>
      </c>
      <c r="K16" s="8" t="n">
        <v>8.5</v>
      </c>
      <c r="L16" s="8" t="n">
        <v>8.300000000000001</v>
      </c>
      <c r="M16" s="8" t="n">
        <v>4.1</v>
      </c>
      <c r="N16" s="8" t="n">
        <v>25.1</v>
      </c>
      <c r="O16" s="8" t="n">
        <v>13.2</v>
      </c>
      <c r="P16" s="8" t="n">
        <v>12.8</v>
      </c>
    </row>
    <row r="17">
      <c r="A17" s="8" t="inlineStr">
        <is>
          <t>19973</t>
        </is>
      </c>
      <c r="B17" s="8" t="inlineStr">
        <is>
          <t>Sussex</t>
        </is>
      </c>
      <c r="C17" s="8" t="n">
        <v>16.7</v>
      </c>
      <c r="D17" s="8" t="n">
        <v>64387</v>
      </c>
      <c r="E17" s="8" t="n">
        <v>7.4</v>
      </c>
      <c r="F17" s="8" t="n">
        <v>20.1</v>
      </c>
      <c r="G17" s="8" t="n">
        <v>14.3</v>
      </c>
      <c r="H17" s="8" t="n">
        <v>15</v>
      </c>
      <c r="I17" s="8" t="n">
        <v>37.8</v>
      </c>
      <c r="J17" s="8" t="n">
        <v>24.2</v>
      </c>
      <c r="K17" s="8" t="n">
        <v>8.699999999999999</v>
      </c>
      <c r="L17" s="8" t="n">
        <v>9.9</v>
      </c>
      <c r="M17" s="8" t="n">
        <v>4.7</v>
      </c>
      <c r="N17" s="8" t="n">
        <v>32.6</v>
      </c>
      <c r="O17" s="8" t="n">
        <v>16.8</v>
      </c>
      <c r="P17" s="8" t="n">
        <v>18</v>
      </c>
    </row>
    <row r="18">
      <c r="A18" s="8" t="inlineStr">
        <is>
          <t>19947</t>
        </is>
      </c>
      <c r="B18" s="8" t="inlineStr">
        <is>
          <t>Sussex</t>
        </is>
      </c>
      <c r="C18" s="8" t="n">
        <v>11.7</v>
      </c>
      <c r="D18" s="8" t="n">
        <v>71229</v>
      </c>
      <c r="E18" s="8" t="n">
        <v>17.2</v>
      </c>
      <c r="F18" s="8" t="n">
        <v>18.7</v>
      </c>
      <c r="G18" s="8" t="n">
        <v>32</v>
      </c>
      <c r="H18" s="8" t="n">
        <v>13.2</v>
      </c>
      <c r="I18" s="8" t="n">
        <v>37.1</v>
      </c>
      <c r="J18" s="8" t="n">
        <v>24.7</v>
      </c>
      <c r="K18" s="8" t="n">
        <v>7.5</v>
      </c>
      <c r="L18" s="8" t="n">
        <v>8.6</v>
      </c>
      <c r="M18" s="8" t="n">
        <v>4</v>
      </c>
      <c r="N18" s="8" t="n">
        <v>32.7</v>
      </c>
      <c r="O18" s="8" t="n">
        <v>16.8</v>
      </c>
      <c r="P18" s="8" t="n">
        <v>17.7</v>
      </c>
    </row>
    <row r="19">
      <c r="A19" s="8" t="inlineStr">
        <is>
          <t>19933</t>
        </is>
      </c>
      <c r="B19" s="8" t="inlineStr">
        <is>
          <t>Sussex</t>
        </is>
      </c>
      <c r="C19" s="8" t="n">
        <v>19.2</v>
      </c>
      <c r="D19" s="8" t="n">
        <v>60703</v>
      </c>
      <c r="E19" s="8" t="n">
        <v>11.2</v>
      </c>
      <c r="F19" s="8" t="n">
        <v>22.1</v>
      </c>
      <c r="G19" s="8" t="n">
        <v>21</v>
      </c>
      <c r="H19" s="8" t="n">
        <v>15.3</v>
      </c>
      <c r="I19" s="8" t="n">
        <v>37.6</v>
      </c>
      <c r="J19" s="8" t="n">
        <v>23.8</v>
      </c>
      <c r="K19" s="8" t="n">
        <v>9</v>
      </c>
      <c r="L19" s="8" t="n">
        <v>9.800000000000001</v>
      </c>
      <c r="M19" s="8" t="n">
        <v>4.7</v>
      </c>
      <c r="N19" s="8" t="n">
        <v>32</v>
      </c>
      <c r="O19" s="8" t="n">
        <v>15.9</v>
      </c>
      <c r="P19" s="8" t="n">
        <v>17.1</v>
      </c>
    </row>
    <row r="20">
      <c r="A20" s="8" t="inlineStr">
        <is>
          <t>19941</t>
        </is>
      </c>
      <c r="B20" s="8" t="inlineStr">
        <is>
          <t>Sussex</t>
        </is>
      </c>
      <c r="C20" s="8" t="n">
        <v>16.1</v>
      </c>
      <c r="D20" s="8" t="n">
        <v>75139</v>
      </c>
      <c r="E20" s="8" t="n">
        <v>11.9</v>
      </c>
      <c r="F20" s="8" t="n">
        <v>11.4</v>
      </c>
      <c r="G20" s="8" t="n">
        <v>9.6</v>
      </c>
      <c r="H20" s="8" t="n">
        <v>14.1</v>
      </c>
      <c r="I20" s="8" t="n">
        <v>39</v>
      </c>
      <c r="J20" s="8" t="n">
        <v>23.7</v>
      </c>
      <c r="K20" s="8" t="n">
        <v>7.4</v>
      </c>
      <c r="L20" s="8" t="n">
        <v>8.800000000000001</v>
      </c>
      <c r="M20" s="8" t="n">
        <v>4.2</v>
      </c>
      <c r="N20" s="8" t="n">
        <v>32.3</v>
      </c>
      <c r="O20" s="8" t="n">
        <v>17.5</v>
      </c>
      <c r="P20" s="8" t="n">
        <v>18.7</v>
      </c>
    </row>
    <row r="21">
      <c r="A21" s="8" t="inlineStr">
        <is>
          <t>19950</t>
        </is>
      </c>
      <c r="B21" s="8" t="inlineStr">
        <is>
          <t>Sussex</t>
        </is>
      </c>
      <c r="C21" s="8" t="n">
        <v>6.1</v>
      </c>
      <c r="D21" s="8" t="n">
        <v>75305</v>
      </c>
      <c r="E21" s="8" t="n">
        <v>7.8</v>
      </c>
      <c r="F21" s="8" t="n">
        <v>18.3</v>
      </c>
      <c r="G21" s="8" t="n">
        <v>7.3</v>
      </c>
      <c r="H21" s="8" t="n">
        <v>14</v>
      </c>
      <c r="I21" s="8" t="n">
        <v>37.2</v>
      </c>
      <c r="J21" s="8" t="n">
        <v>23</v>
      </c>
      <c r="K21" s="8" t="n">
        <v>8.6</v>
      </c>
      <c r="L21" s="8" t="n">
        <v>10</v>
      </c>
      <c r="M21" s="8" t="n">
        <v>4.4</v>
      </c>
      <c r="N21" s="8" t="n">
        <v>31.5</v>
      </c>
      <c r="O21" s="8" t="n">
        <v>17.3</v>
      </c>
      <c r="P21" s="8" t="n">
        <v>17.6</v>
      </c>
    </row>
    <row r="22">
      <c r="A22" s="8" t="inlineStr">
        <is>
          <t>19960</t>
        </is>
      </c>
      <c r="B22" s="8" t="inlineStr">
        <is>
          <t>Sussex</t>
        </is>
      </c>
      <c r="C22" s="8" t="n">
        <v>9.699999999999999</v>
      </c>
      <c r="D22" s="8" t="n">
        <v>67200</v>
      </c>
      <c r="E22" s="8" t="n">
        <v>6</v>
      </c>
      <c r="F22" s="8" t="n">
        <v>15.3</v>
      </c>
      <c r="G22" s="8" t="n">
        <v>18.1</v>
      </c>
      <c r="H22" s="8" t="n">
        <v>13.5</v>
      </c>
      <c r="I22" s="8" t="n">
        <v>37.2</v>
      </c>
      <c r="J22" s="8" t="n">
        <v>21.8</v>
      </c>
      <c r="K22" s="8" t="n">
        <v>7.4</v>
      </c>
      <c r="L22" s="8" t="n">
        <v>8.300000000000001</v>
      </c>
      <c r="M22" s="8" t="n">
        <v>4.1</v>
      </c>
      <c r="N22" s="8" t="n">
        <v>30.2</v>
      </c>
      <c r="O22" s="8" t="n">
        <v>16.4</v>
      </c>
      <c r="P22" s="8" t="n">
        <v>16.6</v>
      </c>
    </row>
    <row r="23">
      <c r="A23" s="8" t="inlineStr">
        <is>
          <t>19954</t>
        </is>
      </c>
      <c r="B23" s="8" t="inlineStr">
        <is>
          <t>Kent</t>
        </is>
      </c>
      <c r="C23" s="8" t="n">
        <v>26.3</v>
      </c>
      <c r="D23" s="8" t="n">
        <v>60345</v>
      </c>
      <c r="E23" s="8" t="n">
        <v>2.4</v>
      </c>
      <c r="F23" s="8" t="n">
        <v>28.3</v>
      </c>
      <c r="G23" s="8" t="n">
        <v>2.9</v>
      </c>
      <c r="H23" s="8" t="n">
        <v>16.7</v>
      </c>
      <c r="I23" s="8" t="n">
        <v>44.2</v>
      </c>
      <c r="J23" s="8" t="n">
        <v>24.6</v>
      </c>
      <c r="K23" s="8" t="n">
        <v>9</v>
      </c>
      <c r="L23" s="8" t="n">
        <v>10.6</v>
      </c>
      <c r="M23" s="8" t="n">
        <v>4.7</v>
      </c>
      <c r="N23" s="8" t="n">
        <v>34.7</v>
      </c>
      <c r="O23" s="8" t="n">
        <v>17.9</v>
      </c>
      <c r="P23" s="8" t="n">
        <v>16.2</v>
      </c>
    </row>
    <row r="24">
      <c r="A24" s="8" t="inlineStr">
        <is>
          <t>19952</t>
        </is>
      </c>
      <c r="B24" s="8" t="inlineStr">
        <is>
          <t>Kent</t>
        </is>
      </c>
      <c r="C24" s="8" t="n">
        <v>7.1</v>
      </c>
      <c r="D24" s="8" t="n">
        <v>76791</v>
      </c>
      <c r="E24" s="8" t="n">
        <v>5.5</v>
      </c>
      <c r="F24" s="8" t="n">
        <v>17.2</v>
      </c>
      <c r="G24" s="8" t="n">
        <v>7.6</v>
      </c>
      <c r="H24" s="8" t="n">
        <v>14</v>
      </c>
      <c r="I24" s="8" t="n">
        <v>43</v>
      </c>
      <c r="J24" s="8" t="n">
        <v>21.3</v>
      </c>
      <c r="K24" s="8" t="n">
        <v>7.1</v>
      </c>
      <c r="L24" s="8" t="n">
        <v>8.6</v>
      </c>
      <c r="M24" s="8" t="n">
        <v>3.9</v>
      </c>
      <c r="N24" s="8" t="n">
        <v>31.3</v>
      </c>
      <c r="O24" s="8" t="n">
        <v>18</v>
      </c>
      <c r="P24" s="8" t="n">
        <v>14.8</v>
      </c>
    </row>
    <row r="25">
      <c r="A25" s="8" t="inlineStr">
        <is>
          <t>19963</t>
        </is>
      </c>
      <c r="B25" s="8" t="inlineStr">
        <is>
          <t>Sussex</t>
        </is>
      </c>
      <c r="C25" s="8" t="n">
        <v>11.9</v>
      </c>
      <c r="D25" s="8" t="n">
        <v>71108</v>
      </c>
      <c r="E25" s="8" t="n">
        <v>4.5</v>
      </c>
      <c r="F25" s="8" t="n">
        <v>22.5</v>
      </c>
      <c r="G25" s="8" t="n">
        <v>16.2</v>
      </c>
      <c r="H25" s="8" t="n">
        <v>14.1</v>
      </c>
      <c r="I25" s="8" t="n">
        <v>38.3</v>
      </c>
      <c r="J25" s="8" t="n">
        <v>21.6</v>
      </c>
      <c r="K25" s="8" t="n">
        <v>8</v>
      </c>
      <c r="L25" s="8" t="n">
        <v>8.800000000000001</v>
      </c>
      <c r="M25" s="8" t="n">
        <v>4.2</v>
      </c>
      <c r="N25" s="8" t="n">
        <v>30.7</v>
      </c>
      <c r="O25" s="8" t="n">
        <v>16.3</v>
      </c>
      <c r="P25" s="8" t="n">
        <v>15</v>
      </c>
    </row>
    <row r="26">
      <c r="A26" s="8" t="inlineStr">
        <is>
          <t>19943</t>
        </is>
      </c>
      <c r="B26" s="8" t="inlineStr">
        <is>
          <t>Kent</t>
        </is>
      </c>
      <c r="C26" s="8" t="n">
        <v>8.5</v>
      </c>
      <c r="D26" s="8" t="n">
        <v>73925</v>
      </c>
      <c r="E26" s="8" t="n">
        <v>4.7</v>
      </c>
      <c r="F26" s="8" t="n">
        <v>19.6</v>
      </c>
      <c r="G26" s="8" t="n">
        <v>3.4</v>
      </c>
      <c r="H26" s="8" t="n">
        <v>13.7</v>
      </c>
      <c r="I26" s="8" t="n">
        <v>42.3</v>
      </c>
      <c r="J26" s="8" t="n">
        <v>20.2</v>
      </c>
      <c r="K26" s="8" t="n">
        <v>6.8</v>
      </c>
      <c r="L26" s="8" t="n">
        <v>7.9</v>
      </c>
      <c r="M26" s="8" t="n">
        <v>3.7</v>
      </c>
      <c r="N26" s="8" t="n">
        <v>30.1</v>
      </c>
      <c r="O26" s="8" t="n">
        <v>17.4</v>
      </c>
      <c r="P26" s="8" t="n">
        <v>13.8</v>
      </c>
    </row>
    <row r="27">
      <c r="A27" s="8" t="inlineStr">
        <is>
          <t>19946</t>
        </is>
      </c>
      <c r="B27" s="8" t="inlineStr">
        <is>
          <t>Kent</t>
        </is>
      </c>
      <c r="C27" s="8" t="n">
        <v>8.1</v>
      </c>
      <c r="D27" s="8" t="n">
        <v>80459</v>
      </c>
      <c r="E27" s="8" t="n">
        <v>4.2</v>
      </c>
      <c r="F27" s="8" t="n">
        <v>17.5</v>
      </c>
      <c r="G27" s="8" t="n">
        <v>4.5</v>
      </c>
      <c r="H27" s="8" t="n">
        <v>14.2</v>
      </c>
      <c r="I27" s="8" t="n">
        <v>43</v>
      </c>
      <c r="J27" s="8" t="n">
        <v>20.8</v>
      </c>
      <c r="K27" s="8" t="n">
        <v>7</v>
      </c>
      <c r="L27" s="8" t="n">
        <v>8</v>
      </c>
      <c r="M27" s="8" t="n">
        <v>3.8</v>
      </c>
      <c r="N27" s="8" t="n">
        <v>31</v>
      </c>
      <c r="O27" s="8" t="n">
        <v>17.3</v>
      </c>
      <c r="P27" s="8" t="n">
        <v>13.7</v>
      </c>
    </row>
    <row r="28">
      <c r="A28" s="8" t="inlineStr">
        <is>
          <t>19979</t>
        </is>
      </c>
      <c r="B28" s="8" t="inlineStr">
        <is>
          <t>Kent</t>
        </is>
      </c>
      <c r="C28" s="8" t="n">
        <v>8.4</v>
      </c>
      <c r="D28" s="8" t="n">
        <v>72361</v>
      </c>
      <c r="E28" s="8" t="n">
        <v>18</v>
      </c>
      <c r="F28" s="8" t="n">
        <v>14.4</v>
      </c>
      <c r="G28" s="8" t="n">
        <v>9.9</v>
      </c>
      <c r="H28" s="8" t="n">
        <v>14</v>
      </c>
      <c r="I28" s="8" t="n">
        <v>42.7</v>
      </c>
      <c r="J28" s="8" t="n">
        <v>21.7</v>
      </c>
      <c r="K28" s="8" t="n">
        <v>7.5</v>
      </c>
      <c r="L28" s="8" t="n">
        <v>9</v>
      </c>
      <c r="M28" s="8" t="n">
        <v>4</v>
      </c>
      <c r="N28" s="8" t="n">
        <v>31.7</v>
      </c>
      <c r="O28" s="8" t="n">
        <v>18.1</v>
      </c>
      <c r="P28" s="8" t="n">
        <v>15.4</v>
      </c>
    </row>
    <row r="29">
      <c r="A29" s="8" t="inlineStr">
        <is>
          <t>19980</t>
        </is>
      </c>
      <c r="B29" s="8" t="inlineStr">
        <is>
          <t>Kent</t>
        </is>
      </c>
      <c r="C29" s="8" t="n">
        <v>29.9</v>
      </c>
      <c r="D29" s="8" t="n">
        <v>85272</v>
      </c>
      <c r="E29" s="8" t="n">
        <v>11.6</v>
      </c>
      <c r="F29" s="8" t="n">
        <v>16</v>
      </c>
      <c r="G29" s="8" t="n">
        <v>0</v>
      </c>
      <c r="H29" s="8" t="n">
        <v>15.1</v>
      </c>
      <c r="I29" s="8" t="n">
        <v>42.4</v>
      </c>
      <c r="J29" s="8" t="n">
        <v>22.5</v>
      </c>
      <c r="K29" s="8" t="n">
        <v>8.199999999999999</v>
      </c>
      <c r="L29" s="8" t="n">
        <v>9.6</v>
      </c>
      <c r="M29" s="8" t="n">
        <v>4.3</v>
      </c>
      <c r="N29" s="8" t="n">
        <v>32.6</v>
      </c>
      <c r="O29" s="8" t="n">
        <v>17.6</v>
      </c>
      <c r="P29" s="8" t="n">
        <v>14.9</v>
      </c>
    </row>
    <row r="30">
      <c r="A30" s="8" t="inlineStr">
        <is>
          <t>19962</t>
        </is>
      </c>
      <c r="B30" s="8" t="inlineStr">
        <is>
          <t>Kent</t>
        </is>
      </c>
      <c r="C30" s="8" t="n">
        <v>5.9</v>
      </c>
      <c r="D30" s="8" t="n">
        <v>104260</v>
      </c>
      <c r="E30" s="8" t="n">
        <v>3.7</v>
      </c>
      <c r="F30" s="8" t="n">
        <v>17.7</v>
      </c>
      <c r="G30" s="8" t="n">
        <v>13</v>
      </c>
      <c r="H30" s="8" t="n">
        <v>13.3</v>
      </c>
      <c r="I30" s="8" t="n">
        <v>42.2</v>
      </c>
      <c r="J30" s="8" t="n">
        <v>19.3</v>
      </c>
      <c r="K30" s="8" t="n">
        <v>6.1</v>
      </c>
      <c r="L30" s="8" t="n">
        <v>6.9</v>
      </c>
      <c r="M30" s="8" t="n">
        <v>3.5</v>
      </c>
      <c r="N30" s="8" t="n">
        <v>29.3</v>
      </c>
      <c r="O30" s="8" t="n">
        <v>17.2</v>
      </c>
      <c r="P30" s="8" t="n">
        <v>12.8</v>
      </c>
    </row>
    <row r="31">
      <c r="A31" s="8" t="inlineStr">
        <is>
          <t>19934</t>
        </is>
      </c>
      <c r="B31" s="8" t="inlineStr">
        <is>
          <t>Kent</t>
        </is>
      </c>
      <c r="C31" s="8" t="n">
        <v>7</v>
      </c>
      <c r="D31" s="8" t="n">
        <v>87125</v>
      </c>
      <c r="E31" s="8" t="n">
        <v>7.6</v>
      </c>
      <c r="F31" s="8" t="n">
        <v>20</v>
      </c>
      <c r="G31" s="8" t="n">
        <v>16.7</v>
      </c>
      <c r="H31" s="8" t="n">
        <v>13.5</v>
      </c>
      <c r="I31" s="8" t="n">
        <v>41.2</v>
      </c>
      <c r="J31" s="8" t="n">
        <v>19.3</v>
      </c>
      <c r="K31" s="8" t="n">
        <v>6.6</v>
      </c>
      <c r="L31" s="8" t="n">
        <v>7.4</v>
      </c>
      <c r="M31" s="8" t="n">
        <v>3.6</v>
      </c>
      <c r="N31" s="8" t="n">
        <v>29.2</v>
      </c>
      <c r="O31" s="8" t="n">
        <v>16.8</v>
      </c>
      <c r="P31" s="8" t="n">
        <v>12.9</v>
      </c>
    </row>
    <row r="32">
      <c r="A32" s="8" t="inlineStr">
        <is>
          <t>19964</t>
        </is>
      </c>
      <c r="B32" s="8" t="inlineStr">
        <is>
          <t>Kent</t>
        </is>
      </c>
      <c r="C32" s="8" t="n">
        <v>4.6</v>
      </c>
      <c r="D32" s="8" t="n">
        <v>99402</v>
      </c>
      <c r="E32" s="8" t="n">
        <v>27.7</v>
      </c>
      <c r="F32" s="8" t="n">
        <v>9.800000000000001</v>
      </c>
      <c r="G32" s="8" t="n">
        <v>25.7</v>
      </c>
      <c r="H32" s="8" t="n">
        <v>14.3</v>
      </c>
      <c r="I32" s="8" t="n">
        <v>42.3</v>
      </c>
      <c r="J32" s="8" t="n">
        <v>24</v>
      </c>
      <c r="K32" s="8" t="n">
        <v>7.8</v>
      </c>
      <c r="L32" s="8" t="n">
        <v>9.9</v>
      </c>
      <c r="M32" s="8" t="n">
        <v>4.2</v>
      </c>
      <c r="N32" s="8" t="n">
        <v>34.7</v>
      </c>
      <c r="O32" s="8" t="n">
        <v>18.9</v>
      </c>
      <c r="P32" s="8" t="n">
        <v>16.8</v>
      </c>
    </row>
    <row r="33">
      <c r="A33" s="8" t="inlineStr">
        <is>
          <t>19902</t>
        </is>
      </c>
      <c r="B33" s="8" t="inlineStr">
        <is>
          <t>Kent</t>
        </is>
      </c>
      <c r="C33" s="8" t="n"/>
      <c r="D33" s="8" t="n"/>
      <c r="E33" s="8" t="n"/>
      <c r="F33" s="8" t="n">
        <v>0</v>
      </c>
      <c r="G33" s="8" t="n">
        <v>18.2</v>
      </c>
      <c r="H33" s="8" t="n">
        <v>1.7</v>
      </c>
      <c r="I33" s="8" t="n">
        <v>29.1</v>
      </c>
      <c r="J33" s="8" t="n">
        <v>13.5</v>
      </c>
      <c r="K33" s="8" t="n">
        <v>0.9</v>
      </c>
      <c r="L33" s="8" t="n">
        <v>1.7</v>
      </c>
      <c r="M33" s="8" t="n">
        <v>0.5</v>
      </c>
      <c r="N33" s="8" t="n">
        <v>21.1</v>
      </c>
      <c r="O33" s="8" t="n">
        <v>23.2</v>
      </c>
      <c r="P33" s="8" t="n">
        <v>6.8</v>
      </c>
    </row>
    <row r="34">
      <c r="A34" s="8" t="inlineStr">
        <is>
          <t>19953</t>
        </is>
      </c>
      <c r="B34" s="8" t="inlineStr">
        <is>
          <t>Kent</t>
        </is>
      </c>
      <c r="C34" s="8" t="n">
        <v>6.2</v>
      </c>
      <c r="D34" s="8" t="n">
        <v>81792</v>
      </c>
      <c r="E34" s="8" t="n">
        <v>22.3</v>
      </c>
      <c r="F34" s="8" t="n">
        <v>13.1</v>
      </c>
      <c r="G34" s="8" t="n">
        <v>11.4</v>
      </c>
      <c r="H34" s="8" t="n">
        <v>14</v>
      </c>
      <c r="I34" s="8" t="n">
        <v>42.9</v>
      </c>
      <c r="J34" s="8" t="n">
        <v>23.7</v>
      </c>
      <c r="K34" s="8" t="n">
        <v>7.5</v>
      </c>
      <c r="L34" s="8" t="n">
        <v>9.699999999999999</v>
      </c>
      <c r="M34" s="8" t="n">
        <v>4</v>
      </c>
      <c r="N34" s="8" t="n">
        <v>33.9</v>
      </c>
      <c r="O34" s="8" t="n">
        <v>19.6</v>
      </c>
      <c r="P34" s="8" t="n">
        <v>17.5</v>
      </c>
    </row>
    <row r="35">
      <c r="A35" s="8" t="inlineStr">
        <is>
          <t>19904</t>
        </is>
      </c>
      <c r="B35" s="8" t="inlineStr">
        <is>
          <t>Kent</t>
        </is>
      </c>
      <c r="C35" s="8" t="n">
        <v>14.2</v>
      </c>
      <c r="D35" s="8" t="n">
        <v>66908</v>
      </c>
      <c r="E35" s="8" t="n">
        <v>7.8</v>
      </c>
      <c r="F35" s="8" t="n">
        <v>18.9</v>
      </c>
      <c r="G35" s="8" t="n">
        <v>14.2</v>
      </c>
      <c r="H35" s="8" t="n">
        <v>15.1</v>
      </c>
      <c r="I35" s="8" t="n">
        <v>44.4</v>
      </c>
      <c r="J35" s="8" t="n">
        <v>22.4</v>
      </c>
      <c r="K35" s="8" t="n">
        <v>6.9</v>
      </c>
      <c r="L35" s="8" t="n">
        <v>8</v>
      </c>
      <c r="M35" s="8" t="n">
        <v>4.1</v>
      </c>
      <c r="N35" s="8" t="n">
        <v>32.8</v>
      </c>
      <c r="O35" s="8" t="n">
        <v>18.2</v>
      </c>
      <c r="P35" s="8" t="n">
        <v>13.9</v>
      </c>
    </row>
    <row r="36">
      <c r="A36" s="8" t="inlineStr">
        <is>
          <t>19901</t>
        </is>
      </c>
      <c r="B36" s="8" t="inlineStr">
        <is>
          <t>Kent</t>
        </is>
      </c>
      <c r="C36" s="8" t="n">
        <v>14.2</v>
      </c>
      <c r="D36" s="8" t="n">
        <v>66388</v>
      </c>
      <c r="E36" s="8" t="n">
        <v>6.3</v>
      </c>
      <c r="F36" s="8" t="n">
        <v>17.1</v>
      </c>
      <c r="G36" s="8" t="n">
        <v>10.2</v>
      </c>
      <c r="H36" s="8" t="n">
        <v>14.5</v>
      </c>
      <c r="I36" s="8" t="n">
        <v>44</v>
      </c>
      <c r="J36" s="8" t="n">
        <v>22.8</v>
      </c>
      <c r="K36" s="8" t="n">
        <v>6.6</v>
      </c>
      <c r="L36" s="8" t="n">
        <v>7.9</v>
      </c>
      <c r="M36" s="8" t="n">
        <v>4</v>
      </c>
      <c r="N36" s="8" t="n">
        <v>33.3</v>
      </c>
      <c r="O36" s="8" t="n">
        <v>19</v>
      </c>
      <c r="P36" s="8" t="n">
        <v>13.9</v>
      </c>
    </row>
    <row r="37">
      <c r="A37" s="8" t="inlineStr">
        <is>
          <t>19936</t>
        </is>
      </c>
      <c r="B37" s="8" t="inlineStr">
        <is>
          <t>Kent</t>
        </is>
      </c>
      <c r="C37" s="8" t="n">
        <v>11.2</v>
      </c>
      <c r="D37" s="8" t="n">
        <v>34135</v>
      </c>
      <c r="E37" s="8" t="n">
        <v>2</v>
      </c>
      <c r="F37" s="8" t="n">
        <v>25.7</v>
      </c>
      <c r="G37" s="8" t="n">
        <v>31.1</v>
      </c>
      <c r="H37" s="8" t="n">
        <v>18.2</v>
      </c>
      <c r="I37" s="8" t="n">
        <v>45.1</v>
      </c>
      <c r="J37" s="8" t="n">
        <v>27.2</v>
      </c>
      <c r="K37" s="8" t="n">
        <v>8.699999999999999</v>
      </c>
      <c r="L37" s="8" t="n">
        <v>10.6</v>
      </c>
      <c r="M37" s="8" t="n">
        <v>5</v>
      </c>
      <c r="N37" s="8" t="n">
        <v>37.4</v>
      </c>
      <c r="O37" s="8" t="n">
        <v>18.8</v>
      </c>
      <c r="P37" s="8" t="n">
        <v>17.6</v>
      </c>
    </row>
    <row r="38">
      <c r="A38" s="8" t="inlineStr">
        <is>
          <t>19955</t>
        </is>
      </c>
      <c r="B38" s="8" t="inlineStr">
        <is>
          <t>Kent</t>
        </is>
      </c>
      <c r="C38" s="8" t="n">
        <v>3.1</v>
      </c>
      <c r="D38" s="8" t="n">
        <v>44634</v>
      </c>
      <c r="E38" s="8" t="n">
        <v>0.6</v>
      </c>
      <c r="F38" s="8" t="n">
        <v>7.7</v>
      </c>
      <c r="G38" s="8" t="n">
        <v>0</v>
      </c>
      <c r="H38" s="8" t="n">
        <v>14.7</v>
      </c>
      <c r="I38" s="8" t="n">
        <v>43.4</v>
      </c>
      <c r="J38" s="8" t="n">
        <v>22.2</v>
      </c>
      <c r="K38" s="8" t="n">
        <v>7.5</v>
      </c>
      <c r="L38" s="8" t="n">
        <v>9.4</v>
      </c>
      <c r="M38" s="8" t="n">
        <v>4.1</v>
      </c>
      <c r="N38" s="8" t="n">
        <v>32.2</v>
      </c>
      <c r="O38" s="8" t="n">
        <v>18.5</v>
      </c>
      <c r="P38" s="8" t="n">
        <v>15.9</v>
      </c>
    </row>
    <row r="39">
      <c r="A39" s="8" t="inlineStr">
        <is>
          <t>19938</t>
        </is>
      </c>
      <c r="B39" s="8" t="inlineStr">
        <is>
          <t>Kent</t>
        </is>
      </c>
      <c r="C39" s="8" t="n">
        <v>6</v>
      </c>
      <c r="D39" s="8" t="n">
        <v>99596</v>
      </c>
      <c r="E39" s="8" t="n">
        <v>5.6</v>
      </c>
      <c r="F39" s="8" t="n">
        <v>13.5</v>
      </c>
      <c r="G39" s="8" t="n">
        <v>7.3</v>
      </c>
      <c r="H39" s="8" t="n">
        <v>12.6</v>
      </c>
      <c r="I39" s="8" t="n">
        <v>42.3</v>
      </c>
      <c r="J39" s="8" t="n">
        <v>19.6</v>
      </c>
      <c r="K39" s="8" t="n">
        <v>6.1</v>
      </c>
      <c r="L39" s="8" t="n">
        <v>7.5</v>
      </c>
      <c r="M39" s="8" t="n">
        <v>3.4</v>
      </c>
      <c r="N39" s="8" t="n">
        <v>29.4</v>
      </c>
      <c r="O39" s="8" t="n">
        <v>18.1</v>
      </c>
      <c r="P39" s="8" t="n">
        <v>14.7</v>
      </c>
    </row>
    <row r="40">
      <c r="A40" s="8" t="inlineStr">
        <is>
          <t>19977</t>
        </is>
      </c>
      <c r="B40" s="8" t="inlineStr">
        <is>
          <t>Kent</t>
        </is>
      </c>
      <c r="C40" s="8" t="n">
        <v>9.5</v>
      </c>
      <c r="D40" s="8" t="n">
        <v>76826</v>
      </c>
      <c r="E40" s="8" t="n">
        <v>4.9</v>
      </c>
      <c r="F40" s="8" t="n">
        <v>19.4</v>
      </c>
      <c r="G40" s="8" t="n">
        <v>10.4</v>
      </c>
      <c r="H40" s="8" t="n">
        <v>13.6</v>
      </c>
      <c r="I40" s="8" t="n">
        <v>42.2</v>
      </c>
      <c r="J40" s="8" t="n">
        <v>19.8</v>
      </c>
      <c r="K40" s="8" t="n">
        <v>6.2</v>
      </c>
      <c r="L40" s="8" t="n">
        <v>7</v>
      </c>
      <c r="M40" s="8" t="n">
        <v>3.6</v>
      </c>
      <c r="N40" s="8" t="n">
        <v>29.8</v>
      </c>
      <c r="O40" s="8" t="n">
        <v>17.1</v>
      </c>
      <c r="P40" s="8" t="n">
        <v>13.6</v>
      </c>
    </row>
    <row r="41">
      <c r="A41" s="8" t="inlineStr">
        <is>
          <t>19734</t>
        </is>
      </c>
      <c r="B41" s="8" t="inlineStr">
        <is>
          <t>New Castle</t>
        </is>
      </c>
      <c r="C41" s="8" t="n">
        <v>5.5</v>
      </c>
      <c r="D41" s="8" t="n">
        <v>127803</v>
      </c>
      <c r="E41" s="8" t="n">
        <v>3.2</v>
      </c>
      <c r="F41" s="8" t="n">
        <v>15.4</v>
      </c>
      <c r="G41" s="8" t="n">
        <v>6.7</v>
      </c>
      <c r="H41" s="8" t="n">
        <v>10.5</v>
      </c>
      <c r="I41" s="8" t="n">
        <v>32.2</v>
      </c>
      <c r="J41" s="8" t="n">
        <v>15.3</v>
      </c>
      <c r="K41" s="8" t="n">
        <v>5.4</v>
      </c>
      <c r="L41" s="8" t="n">
        <v>5.6</v>
      </c>
      <c r="M41" s="8" t="n">
        <v>3</v>
      </c>
      <c r="N41" s="8" t="n">
        <v>22.2</v>
      </c>
      <c r="O41" s="8" t="n">
        <v>15.6</v>
      </c>
      <c r="P41" s="8" t="n">
        <v>11.4</v>
      </c>
    </row>
    <row r="42">
      <c r="A42" s="8" t="inlineStr">
        <is>
          <t>19730</t>
        </is>
      </c>
      <c r="B42" s="8" t="inlineStr">
        <is>
          <t>New Castle</t>
        </is>
      </c>
      <c r="C42" s="8" t="n">
        <v>1.9</v>
      </c>
      <c r="D42" s="8" t="n">
        <v>112083</v>
      </c>
      <c r="E42" s="8" t="n">
        <v>8.199999999999999</v>
      </c>
      <c r="F42" s="8" t="n">
        <v>25.6</v>
      </c>
      <c r="G42" s="8" t="n">
        <v>7.5</v>
      </c>
      <c r="H42" s="8" t="n">
        <v>9.5</v>
      </c>
      <c r="I42" s="8" t="n">
        <v>29.2</v>
      </c>
      <c r="J42" s="8" t="n">
        <v>12.7</v>
      </c>
      <c r="K42" s="8" t="n">
        <v>5.4</v>
      </c>
      <c r="L42" s="8" t="n">
        <v>5.1</v>
      </c>
      <c r="M42" s="8" t="n">
        <v>2.7</v>
      </c>
      <c r="N42" s="8" t="n">
        <v>18.8</v>
      </c>
      <c r="O42" s="8" t="n">
        <v>13.6</v>
      </c>
      <c r="P42" s="8" t="n">
        <v>8.699999999999999</v>
      </c>
    </row>
    <row r="43">
      <c r="A43" s="8" t="inlineStr">
        <is>
          <t>19709</t>
        </is>
      </c>
      <c r="B43" s="8" t="inlineStr">
        <is>
          <t>New Castle</t>
        </is>
      </c>
      <c r="C43" s="8" t="n">
        <v>5</v>
      </c>
      <c r="D43" s="8" t="n">
        <v>132956</v>
      </c>
      <c r="E43" s="8" t="n">
        <v>2.4</v>
      </c>
      <c r="F43" s="8" t="n">
        <v>16.5</v>
      </c>
      <c r="G43" s="8" t="n">
        <v>12.4</v>
      </c>
      <c r="H43" s="8" t="n">
        <v>10.4</v>
      </c>
      <c r="I43" s="8" t="n">
        <v>31.7</v>
      </c>
      <c r="J43" s="8" t="n">
        <v>14.6</v>
      </c>
      <c r="K43" s="8" t="n">
        <v>5</v>
      </c>
      <c r="L43" s="8" t="n">
        <v>5</v>
      </c>
      <c r="M43" s="8" t="n">
        <v>2.8</v>
      </c>
      <c r="N43" s="8" t="n">
        <v>21.5</v>
      </c>
      <c r="O43" s="8" t="n">
        <v>14.9</v>
      </c>
      <c r="P43" s="8" t="n">
        <v>10.2</v>
      </c>
    </row>
    <row r="44">
      <c r="A44" s="8" t="inlineStr">
        <is>
          <t>19731</t>
        </is>
      </c>
      <c r="B44" s="8" t="inlineStr">
        <is>
          <t>New Castle</t>
        </is>
      </c>
      <c r="C44" s="8" t="n">
        <v>4.3</v>
      </c>
      <c r="D44" s="8" t="n">
        <v>71282</v>
      </c>
      <c r="E44" s="8" t="n">
        <v>5</v>
      </c>
      <c r="F44" s="8" t="n">
        <v>50.8</v>
      </c>
      <c r="G44" s="8" t="n">
        <v>0</v>
      </c>
      <c r="H44" s="8" t="n">
        <v>10</v>
      </c>
      <c r="I44" s="8" t="n">
        <v>29.7</v>
      </c>
      <c r="J44" s="8" t="n">
        <v>13.9</v>
      </c>
      <c r="K44" s="8" t="n">
        <v>5.7</v>
      </c>
      <c r="L44" s="8" t="n">
        <v>5.9</v>
      </c>
      <c r="M44" s="8" t="n">
        <v>2.9</v>
      </c>
      <c r="N44" s="8" t="n">
        <v>20.3</v>
      </c>
      <c r="O44" s="8" t="n">
        <v>14.4</v>
      </c>
      <c r="P44" s="8" t="n">
        <v>10.5</v>
      </c>
    </row>
    <row r="45">
      <c r="A45" s="8" t="inlineStr">
        <is>
          <t>19733</t>
        </is>
      </c>
      <c r="B45" s="8" t="inlineStr">
        <is>
          <t>New Castle</t>
        </is>
      </c>
      <c r="C45" s="8" t="n">
        <v>0</v>
      </c>
      <c r="D45" s="8" t="n">
        <v>82604</v>
      </c>
      <c r="E45" s="8" t="n">
        <v>12.9</v>
      </c>
      <c r="F45" s="8" t="n">
        <v>12.9</v>
      </c>
      <c r="G45" s="8" t="n">
        <v>45.2</v>
      </c>
      <c r="H45" s="8" t="n">
        <v>12.5</v>
      </c>
      <c r="I45" s="8" t="n">
        <v>34.1</v>
      </c>
      <c r="J45" s="8" t="n">
        <v>18.4</v>
      </c>
      <c r="K45" s="8" t="n">
        <v>6.1</v>
      </c>
      <c r="L45" s="8" t="n">
        <v>7.6</v>
      </c>
      <c r="M45" s="8" t="n">
        <v>3.5</v>
      </c>
      <c r="N45" s="8" t="n">
        <v>26.7</v>
      </c>
      <c r="O45" s="8" t="n">
        <v>17.1</v>
      </c>
      <c r="P45" s="8" t="n">
        <v>13.8</v>
      </c>
    </row>
    <row r="46">
      <c r="A46" s="8" t="inlineStr">
        <is>
          <t>19706</t>
        </is>
      </c>
      <c r="B46" s="8" t="inlineStr">
        <is>
          <t>New Castle</t>
        </is>
      </c>
      <c r="C46" s="8" t="n">
        <v>6.1</v>
      </c>
      <c r="D46" s="8" t="n">
        <v>83681</v>
      </c>
      <c r="E46" s="8" t="n">
        <v>4.6</v>
      </c>
      <c r="F46" s="8" t="n">
        <v>21.3</v>
      </c>
      <c r="G46" s="8" t="n">
        <v>2.2</v>
      </c>
      <c r="H46" s="8" t="n">
        <v>11.8</v>
      </c>
      <c r="I46" s="8" t="n">
        <v>33.4</v>
      </c>
      <c r="J46" s="8" t="n">
        <v>17.8</v>
      </c>
      <c r="K46" s="8" t="n">
        <v>6.6</v>
      </c>
      <c r="L46" s="8" t="n">
        <v>7.2</v>
      </c>
      <c r="M46" s="8" t="n">
        <v>3.5</v>
      </c>
      <c r="N46" s="8" t="n">
        <v>25.5</v>
      </c>
      <c r="O46" s="8" t="n">
        <v>16.7</v>
      </c>
      <c r="P46" s="8" t="n">
        <v>13.5</v>
      </c>
    </row>
    <row r="47">
      <c r="A47" s="8" t="inlineStr">
        <is>
          <t>19701</t>
        </is>
      </c>
      <c r="B47" s="8" t="inlineStr">
        <is>
          <t>New Castle</t>
        </is>
      </c>
      <c r="C47" s="8" t="n">
        <v>7</v>
      </c>
      <c r="D47" s="8" t="n">
        <v>111198</v>
      </c>
      <c r="E47" s="8" t="n">
        <v>6.3</v>
      </c>
      <c r="F47" s="8" t="n">
        <v>15.3</v>
      </c>
      <c r="G47" s="8" t="n">
        <v>22.2</v>
      </c>
      <c r="H47" s="8" t="n">
        <v>11.9</v>
      </c>
      <c r="I47" s="8" t="n">
        <v>33.3</v>
      </c>
      <c r="J47" s="8" t="n">
        <v>16.9</v>
      </c>
      <c r="K47" s="8" t="n">
        <v>5.4</v>
      </c>
      <c r="L47" s="8" t="n">
        <v>5.7</v>
      </c>
      <c r="M47" s="8" t="n">
        <v>3.2</v>
      </c>
      <c r="N47" s="8" t="n">
        <v>24.8</v>
      </c>
      <c r="O47" s="8" t="n">
        <v>15.6</v>
      </c>
      <c r="P47" s="8" t="n">
        <v>11.7</v>
      </c>
    </row>
    <row r="48">
      <c r="A48" s="8" t="inlineStr">
        <is>
          <t>19702</t>
        </is>
      </c>
      <c r="B48" s="8" t="inlineStr">
        <is>
          <t>New Castle</t>
        </is>
      </c>
      <c r="C48" s="8" t="n">
        <v>7.9</v>
      </c>
      <c r="D48" s="8" t="n">
        <v>92446</v>
      </c>
      <c r="E48" s="8" t="n">
        <v>7.4</v>
      </c>
      <c r="F48" s="8" t="n">
        <v>13.1</v>
      </c>
      <c r="G48" s="8" t="n">
        <v>26.4</v>
      </c>
      <c r="H48" s="8" t="n">
        <v>11.2</v>
      </c>
      <c r="I48" s="8" t="n">
        <v>33.2</v>
      </c>
      <c r="J48" s="8" t="n">
        <v>17.1</v>
      </c>
      <c r="K48" s="8" t="n">
        <v>4.8</v>
      </c>
      <c r="L48" s="8" t="n">
        <v>5.2</v>
      </c>
      <c r="M48" s="8" t="n">
        <v>2.9</v>
      </c>
      <c r="N48" s="8" t="n">
        <v>25</v>
      </c>
      <c r="O48" s="8" t="n">
        <v>16.2</v>
      </c>
      <c r="P48" s="8" t="n">
        <v>11.8</v>
      </c>
    </row>
    <row r="49">
      <c r="A49" s="8" t="inlineStr">
        <is>
          <t>19720</t>
        </is>
      </c>
      <c r="B49" s="8" t="inlineStr">
        <is>
          <t>New Castle</t>
        </is>
      </c>
      <c r="C49" s="8" t="n">
        <v>10.9</v>
      </c>
      <c r="D49" s="8" t="n">
        <v>75403</v>
      </c>
      <c r="E49" s="8" t="n">
        <v>8.699999999999999</v>
      </c>
      <c r="F49" s="8" t="n">
        <v>15.8</v>
      </c>
      <c r="G49" s="8" t="n">
        <v>19</v>
      </c>
      <c r="H49" s="8" t="n">
        <v>13.9</v>
      </c>
      <c r="I49" s="8" t="n">
        <v>37.3</v>
      </c>
      <c r="J49" s="8" t="n">
        <v>21.2</v>
      </c>
      <c r="K49" s="8" t="n">
        <v>6.1</v>
      </c>
      <c r="L49" s="8" t="n">
        <v>6.7</v>
      </c>
      <c r="M49" s="8" t="n">
        <v>3.8</v>
      </c>
      <c r="N49" s="8" t="n">
        <v>29.9</v>
      </c>
      <c r="O49" s="8" t="n">
        <v>17.1</v>
      </c>
      <c r="P49" s="8" t="n">
        <v>13.9</v>
      </c>
    </row>
    <row r="50">
      <c r="A50" s="8" t="inlineStr">
        <is>
          <t>19716</t>
        </is>
      </c>
      <c r="B50" s="8" t="inlineStr">
        <is>
          <t>New Castle</t>
        </is>
      </c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</row>
    <row r="51">
      <c r="A51" s="8" t="inlineStr">
        <is>
          <t>19713</t>
        </is>
      </c>
      <c r="B51" s="8" t="inlineStr">
        <is>
          <t>New Castle</t>
        </is>
      </c>
      <c r="C51" s="8" t="n">
        <v>12.4</v>
      </c>
      <c r="D51" s="8" t="n">
        <v>76493</v>
      </c>
      <c r="E51" s="8" t="n">
        <v>7.7</v>
      </c>
      <c r="F51" s="8" t="n">
        <v>16.7</v>
      </c>
      <c r="G51" s="8" t="n">
        <v>24</v>
      </c>
      <c r="H51" s="8" t="n">
        <v>12.5</v>
      </c>
      <c r="I51" s="8" t="n">
        <v>34</v>
      </c>
      <c r="J51" s="8" t="n">
        <v>19.7</v>
      </c>
      <c r="K51" s="8" t="n">
        <v>6.4</v>
      </c>
      <c r="L51" s="8" t="n">
        <v>6.9</v>
      </c>
      <c r="M51" s="8" t="n">
        <v>3.6</v>
      </c>
      <c r="N51" s="8" t="n">
        <v>28</v>
      </c>
      <c r="O51" s="8" t="n">
        <v>16.7</v>
      </c>
      <c r="P51" s="8" t="n">
        <v>13.4</v>
      </c>
    </row>
    <row r="52">
      <c r="A52" s="8" t="inlineStr">
        <is>
          <t>19717</t>
        </is>
      </c>
      <c r="B52" s="8" t="inlineStr">
        <is>
          <t>New Castle</t>
        </is>
      </c>
      <c r="C52" s="8" t="n"/>
      <c r="D52" s="8" t="n"/>
      <c r="E52" s="8" t="n">
        <v>2.3</v>
      </c>
      <c r="F52" s="8" t="n">
        <v>0</v>
      </c>
      <c r="G52" s="8" t="n">
        <v>10.4</v>
      </c>
      <c r="H52" s="8" t="n">
        <v>2.1</v>
      </c>
      <c r="I52" s="8" t="n">
        <v>28.2</v>
      </c>
      <c r="J52" s="8" t="n">
        <v>17.3</v>
      </c>
      <c r="K52" s="8" t="n">
        <v>1</v>
      </c>
      <c r="L52" s="8" t="n">
        <v>2.8</v>
      </c>
      <c r="M52" s="8" t="n">
        <v>0.7</v>
      </c>
      <c r="N52" s="8" t="n">
        <v>23.5</v>
      </c>
      <c r="O52" s="8" t="n">
        <v>28.2</v>
      </c>
      <c r="P52" s="8" t="n">
        <v>9.1</v>
      </c>
    </row>
    <row r="53">
      <c r="A53" s="8" t="inlineStr">
        <is>
          <t>19711</t>
        </is>
      </c>
      <c r="B53" s="8" t="inlineStr">
        <is>
          <t>New Castle</t>
        </is>
      </c>
      <c r="C53" s="8" t="n">
        <v>15.4</v>
      </c>
      <c r="D53" s="8" t="n">
        <v>95403</v>
      </c>
      <c r="E53" s="8" t="n">
        <v>3.8</v>
      </c>
      <c r="F53" s="8" t="n">
        <v>17.4</v>
      </c>
      <c r="G53" s="8" t="n">
        <v>17.3</v>
      </c>
      <c r="H53" s="8" t="n">
        <v>9.6</v>
      </c>
      <c r="I53" s="8" t="n">
        <v>29.7</v>
      </c>
      <c r="J53" s="8" t="n">
        <v>15.5</v>
      </c>
      <c r="K53" s="8" t="n">
        <v>5.3</v>
      </c>
      <c r="L53" s="8" t="n">
        <v>5.5</v>
      </c>
      <c r="M53" s="8" t="n">
        <v>2.8</v>
      </c>
      <c r="N53" s="8" t="n">
        <v>22.6</v>
      </c>
      <c r="O53" s="8" t="n">
        <v>16.5</v>
      </c>
      <c r="P53" s="8" t="n">
        <v>10.2</v>
      </c>
    </row>
    <row r="54">
      <c r="A54" s="8" t="inlineStr">
        <is>
          <t>19804</t>
        </is>
      </c>
      <c r="B54" s="8" t="inlineStr">
        <is>
          <t>New Castle</t>
        </is>
      </c>
      <c r="C54" s="8" t="n">
        <v>8.5</v>
      </c>
      <c r="D54" s="8" t="n">
        <v>79701</v>
      </c>
      <c r="E54" s="8" t="n">
        <v>5.5</v>
      </c>
      <c r="F54" s="8" t="n">
        <v>16.1</v>
      </c>
      <c r="G54" s="8" t="n">
        <v>15.5</v>
      </c>
      <c r="H54" s="8" t="n">
        <v>12.5</v>
      </c>
      <c r="I54" s="8" t="n">
        <v>35.1</v>
      </c>
      <c r="J54" s="8" t="n">
        <v>20.3</v>
      </c>
      <c r="K54" s="8" t="n">
        <v>6.4</v>
      </c>
      <c r="L54" s="8" t="n">
        <v>7.2</v>
      </c>
      <c r="M54" s="8" t="n">
        <v>3.6</v>
      </c>
      <c r="N54" s="8" t="n">
        <v>28.6</v>
      </c>
      <c r="O54" s="8" t="n">
        <v>17</v>
      </c>
      <c r="P54" s="8" t="n">
        <v>14.1</v>
      </c>
    </row>
    <row r="55">
      <c r="A55" s="8" t="inlineStr">
        <is>
          <t>19801</t>
        </is>
      </c>
      <c r="B55" s="8" t="inlineStr">
        <is>
          <t>New Castle</t>
        </is>
      </c>
      <c r="C55" s="8" t="n">
        <v>25.4</v>
      </c>
      <c r="D55" s="8" t="n">
        <v>52810</v>
      </c>
      <c r="E55" s="8" t="n">
        <v>6.7</v>
      </c>
      <c r="F55" s="8" t="n">
        <v>9.9</v>
      </c>
      <c r="G55" s="8" t="n">
        <v>15.5</v>
      </c>
      <c r="H55" s="8" t="n">
        <v>17.9</v>
      </c>
      <c r="I55" s="8" t="n">
        <v>44.5</v>
      </c>
      <c r="J55" s="8" t="n">
        <v>29.5</v>
      </c>
      <c r="K55" s="8" t="n">
        <v>6.9</v>
      </c>
      <c r="L55" s="8" t="n">
        <v>9.1</v>
      </c>
      <c r="M55" s="8" t="n">
        <v>5.2</v>
      </c>
      <c r="N55" s="8" t="n">
        <v>37.8</v>
      </c>
      <c r="O55" s="8" t="n">
        <v>20.6</v>
      </c>
      <c r="P55" s="8" t="n">
        <v>19.7</v>
      </c>
    </row>
    <row r="56">
      <c r="A56" s="8" t="inlineStr">
        <is>
          <t>19808</t>
        </is>
      </c>
      <c r="B56" s="8" t="inlineStr">
        <is>
          <t>New Castle</t>
        </is>
      </c>
      <c r="C56" s="8" t="n">
        <v>5.4</v>
      </c>
      <c r="D56" s="8" t="n">
        <v>94234</v>
      </c>
      <c r="E56" s="8" t="n">
        <v>8.199999999999999</v>
      </c>
      <c r="F56" s="8" t="n">
        <v>19.6</v>
      </c>
      <c r="G56" s="8" t="n">
        <v>21.2</v>
      </c>
      <c r="H56" s="8" t="n">
        <v>11</v>
      </c>
      <c r="I56" s="8" t="n">
        <v>30.2</v>
      </c>
      <c r="J56" s="8" t="n">
        <v>15.7</v>
      </c>
      <c r="K56" s="8" t="n">
        <v>6.1</v>
      </c>
      <c r="L56" s="8" t="n">
        <v>6</v>
      </c>
      <c r="M56" s="8" t="n">
        <v>3.2</v>
      </c>
      <c r="N56" s="8" t="n">
        <v>23.3</v>
      </c>
      <c r="O56" s="8" t="n">
        <v>14.4</v>
      </c>
      <c r="P56" s="8" t="n">
        <v>10.6</v>
      </c>
    </row>
    <row r="57">
      <c r="A57" s="8" t="inlineStr">
        <is>
          <t>19805</t>
        </is>
      </c>
      <c r="B57" s="8" t="inlineStr">
        <is>
          <t>New Castle</t>
        </is>
      </c>
      <c r="C57" s="8" t="n">
        <v>19.6</v>
      </c>
      <c r="D57" s="8" t="n">
        <v>60221</v>
      </c>
      <c r="E57" s="8" t="n">
        <v>11.4</v>
      </c>
      <c r="F57" s="8" t="n">
        <v>13.7</v>
      </c>
      <c r="G57" s="8" t="n">
        <v>25.1</v>
      </c>
      <c r="H57" s="8" t="n">
        <v>14</v>
      </c>
      <c r="I57" s="8" t="n">
        <v>39</v>
      </c>
      <c r="J57" s="8" t="n">
        <v>24</v>
      </c>
      <c r="K57" s="8" t="n">
        <v>6.2</v>
      </c>
      <c r="L57" s="8" t="n">
        <v>7.2</v>
      </c>
      <c r="M57" s="8" t="n">
        <v>3.8</v>
      </c>
      <c r="N57" s="8" t="n">
        <v>32.7</v>
      </c>
      <c r="O57" s="8" t="n">
        <v>18.3</v>
      </c>
      <c r="P57" s="8" t="n">
        <v>15.6</v>
      </c>
    </row>
    <row r="58">
      <c r="A58" s="8" t="inlineStr">
        <is>
          <t>19802</t>
        </is>
      </c>
      <c r="B58" s="8" t="inlineStr">
        <is>
          <t>New Castle</t>
        </is>
      </c>
      <c r="C58" s="8" t="n">
        <v>22</v>
      </c>
      <c r="D58" s="8" t="n">
        <v>53812</v>
      </c>
      <c r="E58" s="8" t="n">
        <v>7.1</v>
      </c>
      <c r="F58" s="8" t="n">
        <v>14.9</v>
      </c>
      <c r="G58" s="8" t="n">
        <v>7.3</v>
      </c>
      <c r="H58" s="8" t="n">
        <v>17.3</v>
      </c>
      <c r="I58" s="8" t="n">
        <v>42.9</v>
      </c>
      <c r="J58" s="8" t="n">
        <v>26.2</v>
      </c>
      <c r="K58" s="8" t="n">
        <v>6.7</v>
      </c>
      <c r="L58" s="8" t="n">
        <v>8</v>
      </c>
      <c r="M58" s="8" t="n">
        <v>4.9</v>
      </c>
      <c r="N58" s="8" t="n">
        <v>34.5</v>
      </c>
      <c r="O58" s="8" t="n">
        <v>18.4</v>
      </c>
      <c r="P58" s="8" t="n">
        <v>17</v>
      </c>
    </row>
    <row r="59">
      <c r="A59" s="8" t="inlineStr">
        <is>
          <t>19809</t>
        </is>
      </c>
      <c r="B59" s="8" t="inlineStr">
        <is>
          <t>New Castle</t>
        </is>
      </c>
      <c r="C59" s="8" t="n">
        <v>12.2</v>
      </c>
      <c r="D59" s="8" t="n">
        <v>81288</v>
      </c>
      <c r="E59" s="8" t="n">
        <v>2.2</v>
      </c>
      <c r="F59" s="8" t="n">
        <v>16.8</v>
      </c>
      <c r="G59" s="8" t="n">
        <v>7.5</v>
      </c>
      <c r="H59" s="8" t="n">
        <v>11.5</v>
      </c>
      <c r="I59" s="8" t="n">
        <v>32.9</v>
      </c>
      <c r="J59" s="8" t="n">
        <v>16</v>
      </c>
      <c r="K59" s="8" t="n">
        <v>5.9</v>
      </c>
      <c r="L59" s="8" t="n">
        <v>6</v>
      </c>
      <c r="M59" s="8" t="n">
        <v>3.2</v>
      </c>
      <c r="N59" s="8" t="n">
        <v>23.4</v>
      </c>
      <c r="O59" s="8" t="n">
        <v>15.2</v>
      </c>
      <c r="P59" s="8" t="n">
        <v>11.2</v>
      </c>
    </row>
    <row r="60">
      <c r="A60" s="8" t="inlineStr">
        <is>
          <t>19806</t>
        </is>
      </c>
      <c r="B60" s="8" t="inlineStr">
        <is>
          <t>New Castle</t>
        </is>
      </c>
      <c r="C60" s="8" t="n">
        <v>9.9</v>
      </c>
      <c r="D60" s="8" t="n">
        <v>88855</v>
      </c>
      <c r="E60" s="8" t="n">
        <v>3.3</v>
      </c>
      <c r="F60" s="8" t="n">
        <v>27.7</v>
      </c>
      <c r="G60" s="8" t="n">
        <v>10.1</v>
      </c>
      <c r="H60" s="8" t="n">
        <v>10.8</v>
      </c>
      <c r="I60" s="8" t="n">
        <v>29.8</v>
      </c>
      <c r="J60" s="8" t="n">
        <v>14.2</v>
      </c>
      <c r="K60" s="8" t="n">
        <v>6.2</v>
      </c>
      <c r="L60" s="8" t="n">
        <v>5.5</v>
      </c>
      <c r="M60" s="8" t="n">
        <v>3.3</v>
      </c>
      <c r="N60" s="8" t="n">
        <v>20.6</v>
      </c>
      <c r="O60" s="8" t="n">
        <v>13.6</v>
      </c>
      <c r="P60" s="8" t="n">
        <v>8.5</v>
      </c>
    </row>
    <row r="61">
      <c r="A61" s="8" t="inlineStr">
        <is>
          <t>19736</t>
        </is>
      </c>
      <c r="B61" s="8" t="inlineStr">
        <is>
          <t>New Castle</t>
        </is>
      </c>
      <c r="C61" s="8" t="n">
        <v>0</v>
      </c>
      <c r="D61" s="8" t="n"/>
      <c r="E61" s="8" t="n">
        <v>0</v>
      </c>
      <c r="F61" s="8" t="n">
        <v>34.6</v>
      </c>
      <c r="G61" s="8" t="n">
        <v>0</v>
      </c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</row>
    <row r="62">
      <c r="A62" s="8" t="inlineStr">
        <is>
          <t>19707</t>
        </is>
      </c>
      <c r="B62" s="8" t="inlineStr">
        <is>
          <t>New Castle</t>
        </is>
      </c>
      <c r="C62" s="8" t="n">
        <v>2.4</v>
      </c>
      <c r="D62" s="8" t="n">
        <v>172696</v>
      </c>
      <c r="E62" s="8" t="n">
        <v>3.2</v>
      </c>
      <c r="F62" s="8" t="n">
        <v>24.8</v>
      </c>
      <c r="G62" s="8" t="n">
        <v>12</v>
      </c>
      <c r="H62" s="8" t="n">
        <v>10.3</v>
      </c>
      <c r="I62" s="8" t="n">
        <v>25.6</v>
      </c>
      <c r="J62" s="8" t="n">
        <v>11.8</v>
      </c>
      <c r="K62" s="8" t="n">
        <v>6</v>
      </c>
      <c r="L62" s="8" t="n">
        <v>4.7</v>
      </c>
      <c r="M62" s="8" t="n">
        <v>2.9</v>
      </c>
      <c r="N62" s="8" t="n">
        <v>18.8</v>
      </c>
      <c r="O62" s="8" t="n">
        <v>11.5</v>
      </c>
      <c r="P62" s="8" t="n">
        <v>7.2</v>
      </c>
    </row>
    <row r="63">
      <c r="A63" s="8" t="inlineStr">
        <is>
          <t>19710</t>
        </is>
      </c>
      <c r="B63" s="8" t="inlineStr">
        <is>
          <t>New Castle</t>
        </is>
      </c>
      <c r="C63" s="8" t="n"/>
      <c r="D63" s="8" t="n"/>
      <c r="E63" s="8" t="n"/>
      <c r="F63" s="8" t="n"/>
      <c r="G63" s="8" t="n"/>
      <c r="H63" s="8" t="n">
        <v>10.5</v>
      </c>
      <c r="I63" s="8" t="n">
        <v>27.6</v>
      </c>
      <c r="J63" s="8" t="n">
        <v>11.7</v>
      </c>
      <c r="K63" s="8" t="n">
        <v>6</v>
      </c>
      <c r="L63" s="8" t="n">
        <v>5.2</v>
      </c>
      <c r="M63" s="8" t="n">
        <v>3</v>
      </c>
      <c r="N63" s="8" t="n">
        <v>17.9</v>
      </c>
      <c r="O63" s="8" t="n">
        <v>11.4</v>
      </c>
      <c r="P63" s="8" t="n">
        <v>6.8</v>
      </c>
    </row>
    <row r="64">
      <c r="A64" s="8" t="inlineStr">
        <is>
          <t>19807</t>
        </is>
      </c>
      <c r="B64" s="8" t="inlineStr">
        <is>
          <t>New Castle</t>
        </is>
      </c>
      <c r="C64" s="8" t="n">
        <v>4.1</v>
      </c>
      <c r="D64" s="8" t="n">
        <v>153341</v>
      </c>
      <c r="E64" s="8" t="n">
        <v>1.5</v>
      </c>
      <c r="F64" s="8" t="n">
        <v>34</v>
      </c>
      <c r="G64" s="8" t="n">
        <v>19.4</v>
      </c>
      <c r="H64" s="8" t="n">
        <v>11</v>
      </c>
      <c r="I64" s="8" t="n">
        <v>26.9</v>
      </c>
      <c r="J64" s="8" t="n">
        <v>12.8</v>
      </c>
      <c r="K64" s="8" t="n">
        <v>7</v>
      </c>
      <c r="L64" s="8" t="n">
        <v>5.4</v>
      </c>
      <c r="M64" s="8" t="n">
        <v>3.3</v>
      </c>
      <c r="N64" s="8" t="n">
        <v>19.4</v>
      </c>
      <c r="O64" s="8" t="n">
        <v>11.5</v>
      </c>
      <c r="P64" s="8" t="n">
        <v>7.2</v>
      </c>
    </row>
    <row r="65">
      <c r="A65" s="8" t="inlineStr">
        <is>
          <t>19803</t>
        </is>
      </c>
      <c r="B65" s="8" t="inlineStr">
        <is>
          <t>New Castle</t>
        </is>
      </c>
      <c r="C65" s="8" t="n">
        <v>2</v>
      </c>
      <c r="D65" s="8" t="n">
        <v>135218</v>
      </c>
      <c r="E65" s="8" t="n">
        <v>3.5</v>
      </c>
      <c r="F65" s="8" t="n">
        <v>24</v>
      </c>
      <c r="G65" s="8" t="n">
        <v>9.4</v>
      </c>
      <c r="H65" s="8" t="n">
        <v>10.5</v>
      </c>
      <c r="I65" s="8" t="n">
        <v>28.2</v>
      </c>
      <c r="J65" s="8" t="n">
        <v>13</v>
      </c>
      <c r="K65" s="8" t="n">
        <v>6.3</v>
      </c>
      <c r="L65" s="8" t="n">
        <v>5.4</v>
      </c>
      <c r="M65" s="8" t="n">
        <v>3.1</v>
      </c>
      <c r="N65" s="8" t="n">
        <v>19.6</v>
      </c>
      <c r="O65" s="8" t="n">
        <v>12.6</v>
      </c>
      <c r="P65" s="8" t="n">
        <v>8.300000000000001</v>
      </c>
    </row>
    <row r="66">
      <c r="A66" s="8" t="inlineStr">
        <is>
          <t>19732</t>
        </is>
      </c>
      <c r="B66" s="8" t="inlineStr">
        <is>
          <t>New Castle</t>
        </is>
      </c>
      <c r="C66" s="8" t="n">
        <v>30.3</v>
      </c>
      <c r="D66" s="8" t="n">
        <v>236000</v>
      </c>
      <c r="E66" s="8" t="n">
        <v>0</v>
      </c>
      <c r="F66" s="8" t="n">
        <v>51.7</v>
      </c>
      <c r="G66" s="8" t="n">
        <v>0</v>
      </c>
      <c r="H66" s="8" t="n">
        <v>9.4</v>
      </c>
      <c r="I66" s="8" t="n">
        <v>25.8</v>
      </c>
      <c r="J66" s="8" t="n">
        <v>10.5</v>
      </c>
      <c r="K66" s="8" t="n">
        <v>6.2</v>
      </c>
      <c r="L66" s="8" t="n">
        <v>4.5</v>
      </c>
      <c r="M66" s="8" t="n">
        <v>2.7</v>
      </c>
      <c r="N66" s="8" t="n">
        <v>15.4</v>
      </c>
      <c r="O66" s="8" t="n">
        <v>11.2</v>
      </c>
      <c r="P66" s="8" t="n">
        <v>6.3</v>
      </c>
    </row>
    <row r="67">
      <c r="A67" s="8" t="inlineStr">
        <is>
          <t>19703</t>
        </is>
      </c>
      <c r="B67" s="8" t="inlineStr">
        <is>
          <t>New Castle</t>
        </is>
      </c>
      <c r="C67" s="8" t="n">
        <v>10.1</v>
      </c>
      <c r="D67" s="8" t="n">
        <v>76939</v>
      </c>
      <c r="E67" s="8" t="n">
        <v>5</v>
      </c>
      <c r="F67" s="8" t="n">
        <v>16</v>
      </c>
      <c r="G67" s="8" t="n">
        <v>17.6</v>
      </c>
      <c r="H67" s="8" t="n">
        <v>11</v>
      </c>
      <c r="I67" s="8" t="n">
        <v>33.1</v>
      </c>
      <c r="J67" s="8" t="n">
        <v>16.6</v>
      </c>
      <c r="K67" s="8" t="n">
        <v>5.1</v>
      </c>
      <c r="L67" s="8" t="n">
        <v>5.4</v>
      </c>
      <c r="M67" s="8" t="n">
        <v>3</v>
      </c>
      <c r="N67" s="8" t="n">
        <v>24.8</v>
      </c>
      <c r="O67" s="8" t="n">
        <v>16</v>
      </c>
      <c r="P67" s="8" t="n">
        <v>11.6</v>
      </c>
    </row>
    <row r="68">
      <c r="A68" s="8" t="inlineStr">
        <is>
          <t>19735</t>
        </is>
      </c>
      <c r="B68" s="8" t="inlineStr">
        <is>
          <t>New Castle</t>
        </is>
      </c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</row>
    <row r="69">
      <c r="A69" s="8" t="inlineStr">
        <is>
          <t>19810</t>
        </is>
      </c>
      <c r="B69" s="8" t="inlineStr">
        <is>
          <t>New Castle</t>
        </is>
      </c>
      <c r="C69" s="8" t="n">
        <v>4.6</v>
      </c>
      <c r="D69" s="8" t="n">
        <v>112775</v>
      </c>
      <c r="E69" s="8" t="n">
        <v>2.1</v>
      </c>
      <c r="F69" s="8" t="n">
        <v>25.4</v>
      </c>
      <c r="G69" s="8" t="n">
        <v>10.8</v>
      </c>
      <c r="H69" s="8" t="n">
        <v>11.1</v>
      </c>
      <c r="I69" s="8" t="n">
        <v>29</v>
      </c>
      <c r="J69" s="8" t="n">
        <v>14.2</v>
      </c>
      <c r="K69" s="8" t="n">
        <v>6.3</v>
      </c>
      <c r="L69" s="8" t="n">
        <v>5.7</v>
      </c>
      <c r="M69" s="8" t="n">
        <v>3.2</v>
      </c>
      <c r="N69" s="8" t="n">
        <v>21.4</v>
      </c>
      <c r="O69" s="8" t="n">
        <v>13.3</v>
      </c>
      <c r="P69" s="8" t="n">
        <v>9.300000000000001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9" customWidth="1" min="3" max="3"/>
    <col width="31" customWidth="1" min="4" max="4"/>
    <col width="19" customWidth="1" min="5" max="5"/>
    <col width="17" customWidth="1" min="6" max="6"/>
    <col width="36" customWidth="1" min="7" max="7"/>
    <col width="42" customWidth="1" min="8" max="8"/>
    <col width="18" customWidth="1" min="9" max="9"/>
    <col width="38" customWidth="1" min="10" max="10"/>
    <col width="33" customWidth="1" min="11" max="11"/>
    <col width="15" customWidth="1" min="12" max="12"/>
    <col width="17" customWidth="1" min="13" max="13"/>
    <col width="30" customWidth="1" min="14" max="14"/>
    <col width="35" customWidth="1" min="15" max="15"/>
    <col width="26" customWidth="1" min="16" max="16"/>
  </cols>
  <sheetData>
    <row r="1">
      <c r="A1" s="5" t="inlineStr">
        <is>
          <t>ZCTA</t>
        </is>
      </c>
      <c r="B1" s="5" t="inlineStr">
        <is>
          <t>County</t>
        </is>
      </c>
      <c r="C1" s="5" t="inlineStr">
        <is>
          <t>Poverty % (ACS DP03_0128PE)</t>
        </is>
      </c>
      <c r="D1" s="5" t="inlineStr">
        <is>
          <t>Median household income (ACS)</t>
        </is>
      </c>
      <c r="E1" s="5" t="inlineStr">
        <is>
          <t>Uninsured % (ACS)</t>
        </is>
      </c>
      <c r="F1" s="5" t="inlineStr">
        <is>
          <t>Age 65+ % (ACS)</t>
        </is>
      </c>
      <c r="G1" s="5" t="inlineStr">
        <is>
          <t>Non-English spoken at home % (ACS)</t>
        </is>
      </c>
      <c r="H1" s="5" t="inlineStr">
        <is>
          <t>Diagnosed diabetes among adults (PLACES)</t>
        </is>
      </c>
      <c r="I1" s="5" t="inlineStr">
        <is>
          <t>Obesity (PLACES)</t>
        </is>
      </c>
      <c r="J1" s="5" t="inlineStr">
        <is>
          <t>Fair/poor self-rated health (PLACES)</t>
        </is>
      </c>
      <c r="K1" s="5" t="inlineStr">
        <is>
          <t>Coronary heart disease (PLACES)</t>
        </is>
      </c>
      <c r="L1" s="5" t="inlineStr">
        <is>
          <t>COPD (PLACES)</t>
        </is>
      </c>
      <c r="M1" s="5" t="inlineStr">
        <is>
          <t>Stroke (PLACES)</t>
        </is>
      </c>
      <c r="N1" s="5" t="inlineStr">
        <is>
          <t>Physical inactivity (PLACES)</t>
        </is>
      </c>
      <c r="O1" s="5" t="inlineStr">
        <is>
          <t>Frequent mental distress (PLACES)</t>
        </is>
      </c>
      <c r="P1" s="5" t="inlineStr">
        <is>
          <t>Current smoking (PLACES)</t>
        </is>
      </c>
    </row>
    <row r="2">
      <c r="A2" s="8" t="inlineStr">
        <is>
          <t>19975</t>
        </is>
      </c>
      <c r="B2" s="8" t="inlineStr">
        <is>
          <t>Sussex</t>
        </is>
      </c>
      <c r="C2" s="8" t="n">
        <v>12</v>
      </c>
      <c r="D2" s="8" t="n">
        <v>37</v>
      </c>
      <c r="E2" s="8" t="n">
        <v>48.5</v>
      </c>
      <c r="F2" s="8" t="n">
        <v>57</v>
      </c>
      <c r="G2" s="8" t="n">
        <v>37</v>
      </c>
      <c r="H2" s="8" t="n">
        <v>38.5</v>
      </c>
      <c r="I2" s="8" t="n">
        <v>19</v>
      </c>
      <c r="J2" s="8" t="n">
        <v>25</v>
      </c>
      <c r="K2" s="8" t="n">
        <v>57.5</v>
      </c>
      <c r="L2" s="8" t="n">
        <v>40</v>
      </c>
      <c r="M2" s="8" t="n">
        <v>48.5</v>
      </c>
      <c r="N2" s="8" t="n">
        <v>27.5</v>
      </c>
      <c r="O2" s="8" t="n">
        <v>11</v>
      </c>
      <c r="P2" s="8" t="n">
        <v>22.5</v>
      </c>
    </row>
    <row r="3">
      <c r="A3" s="8" t="inlineStr">
        <is>
          <t>19944</t>
        </is>
      </c>
      <c r="B3" s="8" t="inlineStr">
        <is>
          <t>Sussex</t>
        </is>
      </c>
      <c r="C3" s="8" t="n">
        <v>4.5</v>
      </c>
      <c r="D3" s="8" t="n">
        <v>55</v>
      </c>
      <c r="E3" s="8" t="n">
        <v>5.5</v>
      </c>
      <c r="F3" s="8" t="n">
        <v>65</v>
      </c>
      <c r="G3" s="8" t="n">
        <v>6</v>
      </c>
      <c r="H3" s="8" t="n">
        <v>29</v>
      </c>
      <c r="I3" s="8" t="n">
        <v>3</v>
      </c>
      <c r="J3" s="8" t="n">
        <v>14.5</v>
      </c>
      <c r="K3" s="8" t="n">
        <v>63</v>
      </c>
      <c r="L3" s="8" t="n">
        <v>34</v>
      </c>
      <c r="M3" s="8" t="n">
        <v>54.5</v>
      </c>
      <c r="N3" s="8" t="n">
        <v>15</v>
      </c>
      <c r="O3" s="8" t="n">
        <v>2</v>
      </c>
      <c r="P3" s="8" t="n">
        <v>8.5</v>
      </c>
    </row>
    <row r="4">
      <c r="A4" s="8" t="inlineStr">
        <is>
          <t>19940</t>
        </is>
      </c>
      <c r="B4" s="8" t="inlineStr">
        <is>
          <t>Sussex</t>
        </is>
      </c>
      <c r="C4" s="8" t="n">
        <v>50</v>
      </c>
      <c r="D4" s="8" t="n">
        <v>9</v>
      </c>
      <c r="E4" s="8" t="n">
        <v>53</v>
      </c>
      <c r="F4" s="8" t="n">
        <v>26.5</v>
      </c>
      <c r="G4" s="8" t="n">
        <v>33</v>
      </c>
      <c r="H4" s="8" t="n">
        <v>22</v>
      </c>
      <c r="I4" s="8" t="n">
        <v>35</v>
      </c>
      <c r="J4" s="8" t="n">
        <v>38</v>
      </c>
      <c r="K4" s="8" t="n">
        <v>37</v>
      </c>
      <c r="L4" s="8" t="n">
        <v>44</v>
      </c>
      <c r="M4" s="8" t="n">
        <v>32.5</v>
      </c>
      <c r="N4" s="8" t="n">
        <v>34</v>
      </c>
      <c r="O4" s="8" t="n">
        <v>34</v>
      </c>
      <c r="P4" s="8" t="n">
        <v>54</v>
      </c>
    </row>
    <row r="5">
      <c r="A5" s="8" t="inlineStr">
        <is>
          <t>19956</t>
        </is>
      </c>
      <c r="B5" s="8" t="inlineStr">
        <is>
          <t>Sussex</t>
        </is>
      </c>
      <c r="C5" s="8" t="n">
        <v>53</v>
      </c>
      <c r="D5" s="8" t="n">
        <v>10</v>
      </c>
      <c r="E5" s="8" t="n">
        <v>33</v>
      </c>
      <c r="F5" s="8" t="n">
        <v>30</v>
      </c>
      <c r="G5" s="8" t="n">
        <v>41.5</v>
      </c>
      <c r="H5" s="8" t="n">
        <v>34.5</v>
      </c>
      <c r="I5" s="8" t="n">
        <v>37.5</v>
      </c>
      <c r="J5" s="8" t="n">
        <v>53</v>
      </c>
      <c r="K5" s="8" t="n">
        <v>46.5</v>
      </c>
      <c r="L5" s="8" t="n">
        <v>56</v>
      </c>
      <c r="M5" s="8" t="n">
        <v>48.5</v>
      </c>
      <c r="N5" s="8" t="n">
        <v>46</v>
      </c>
      <c r="O5" s="8" t="n">
        <v>49.5</v>
      </c>
      <c r="P5" s="8" t="n">
        <v>62</v>
      </c>
    </row>
    <row r="6">
      <c r="A6" s="8" t="inlineStr">
        <is>
          <t>19931</t>
        </is>
      </c>
      <c r="B6" s="8" t="inlineStr">
        <is>
          <t>Sussex</t>
        </is>
      </c>
      <c r="C6" s="8" t="n">
        <v>3</v>
      </c>
      <c r="D6" s="8" t="n">
        <v>47</v>
      </c>
      <c r="E6" s="8" t="n">
        <v>13</v>
      </c>
      <c r="F6" s="8" t="n">
        <v>42</v>
      </c>
      <c r="G6" s="8" t="n">
        <v>51</v>
      </c>
      <c r="H6" s="8" t="n">
        <v>64</v>
      </c>
      <c r="I6" s="8" t="n">
        <v>44</v>
      </c>
      <c r="J6" s="8" t="n">
        <v>64</v>
      </c>
      <c r="K6" s="8" t="n">
        <v>65</v>
      </c>
      <c r="L6" s="8" t="n">
        <v>65</v>
      </c>
      <c r="M6" s="8" t="n">
        <v>65</v>
      </c>
      <c r="N6" s="8" t="n">
        <v>63</v>
      </c>
      <c r="O6" s="8" t="n">
        <v>30.5</v>
      </c>
      <c r="P6" s="8" t="n">
        <v>65</v>
      </c>
    </row>
    <row r="7">
      <c r="A7" s="8" t="inlineStr">
        <is>
          <t>19945</t>
        </is>
      </c>
      <c r="B7" s="8" t="inlineStr">
        <is>
          <t>Sussex</t>
        </is>
      </c>
      <c r="C7" s="8" t="n">
        <v>48</v>
      </c>
      <c r="D7" s="8" t="n">
        <v>36</v>
      </c>
      <c r="E7" s="8" t="n">
        <v>58</v>
      </c>
      <c r="F7" s="8" t="n">
        <v>55</v>
      </c>
      <c r="G7" s="8" t="n">
        <v>41.5</v>
      </c>
      <c r="H7" s="8" t="n">
        <v>25.5</v>
      </c>
      <c r="I7" s="8" t="n">
        <v>24.5</v>
      </c>
      <c r="J7" s="8" t="n">
        <v>25</v>
      </c>
      <c r="K7" s="8" t="n">
        <v>44</v>
      </c>
      <c r="L7" s="8" t="n">
        <v>29.5</v>
      </c>
      <c r="M7" s="8" t="n">
        <v>29.5</v>
      </c>
      <c r="N7" s="8" t="n">
        <v>23</v>
      </c>
      <c r="O7" s="8" t="n">
        <v>17.5</v>
      </c>
      <c r="P7" s="8" t="n">
        <v>27</v>
      </c>
    </row>
    <row r="8">
      <c r="A8" s="8" t="inlineStr">
        <is>
          <t>19967</t>
        </is>
      </c>
      <c r="B8" s="8" t="inlineStr">
        <is>
          <t>Sussex</t>
        </is>
      </c>
      <c r="C8" s="8" t="n">
        <v>19.5</v>
      </c>
      <c r="D8" s="8" t="n">
        <v>46</v>
      </c>
      <c r="E8" s="8" t="n">
        <v>20.5</v>
      </c>
      <c r="F8" s="8" t="n">
        <v>61</v>
      </c>
      <c r="G8" s="8" t="n">
        <v>12.5</v>
      </c>
      <c r="H8" s="8" t="n">
        <v>54</v>
      </c>
      <c r="I8" s="8" t="n">
        <v>21</v>
      </c>
      <c r="J8" s="8" t="n">
        <v>23</v>
      </c>
      <c r="K8" s="8" t="n">
        <v>62</v>
      </c>
      <c r="L8" s="8" t="n">
        <v>52</v>
      </c>
      <c r="M8" s="8" t="n">
        <v>54.5</v>
      </c>
      <c r="N8" s="8" t="n">
        <v>21</v>
      </c>
      <c r="O8" s="8" t="n">
        <v>8.5</v>
      </c>
      <c r="P8" s="8" t="n">
        <v>26</v>
      </c>
    </row>
    <row r="9">
      <c r="A9" s="8" t="inlineStr">
        <is>
          <t>19930</t>
        </is>
      </c>
      <c r="B9" s="8" t="inlineStr">
        <is>
          <t>Sussex</t>
        </is>
      </c>
      <c r="C9" s="8" t="n">
        <v>8</v>
      </c>
      <c r="D9" s="8" t="n">
        <v>56</v>
      </c>
      <c r="E9" s="8" t="n">
        <v>5.5</v>
      </c>
      <c r="F9" s="8" t="n">
        <v>64</v>
      </c>
      <c r="G9" s="8" t="n">
        <v>24</v>
      </c>
      <c r="H9" s="8" t="n">
        <v>23</v>
      </c>
      <c r="I9" s="8" t="n">
        <v>4</v>
      </c>
      <c r="J9" s="8" t="n">
        <v>6</v>
      </c>
      <c r="K9" s="8" t="n">
        <v>59.5</v>
      </c>
      <c r="L9" s="8" t="n">
        <v>20</v>
      </c>
      <c r="M9" s="8" t="n">
        <v>35.5</v>
      </c>
      <c r="N9" s="8" t="n">
        <v>5.5</v>
      </c>
      <c r="O9" s="8" t="n">
        <v>1</v>
      </c>
      <c r="P9" s="8" t="n">
        <v>4</v>
      </c>
    </row>
    <row r="10">
      <c r="A10" s="8" t="inlineStr">
        <is>
          <t>19970</t>
        </is>
      </c>
      <c r="B10" s="8" t="inlineStr">
        <is>
          <t>Sussex</t>
        </is>
      </c>
      <c r="C10" s="8" t="n">
        <v>49</v>
      </c>
      <c r="D10" s="8" t="n">
        <v>41</v>
      </c>
      <c r="E10" s="8" t="n">
        <v>23</v>
      </c>
      <c r="F10" s="8" t="n">
        <v>60</v>
      </c>
      <c r="G10" s="8" t="n">
        <v>14</v>
      </c>
      <c r="H10" s="8" t="n">
        <v>56</v>
      </c>
      <c r="I10" s="8" t="n">
        <v>18</v>
      </c>
      <c r="J10" s="8" t="n">
        <v>29.5</v>
      </c>
      <c r="K10" s="8" t="n">
        <v>64</v>
      </c>
      <c r="L10" s="8" t="n">
        <v>54</v>
      </c>
      <c r="M10" s="8" t="n">
        <v>59.5</v>
      </c>
      <c r="N10" s="8" t="n">
        <v>29</v>
      </c>
      <c r="O10" s="8" t="n">
        <v>5</v>
      </c>
      <c r="P10" s="8" t="n">
        <v>20.5</v>
      </c>
    </row>
    <row r="11">
      <c r="A11" s="8" t="inlineStr">
        <is>
          <t>19966</t>
        </is>
      </c>
      <c r="B11" s="8" t="inlineStr">
        <is>
          <t>Sussex</t>
        </is>
      </c>
      <c r="C11" s="8" t="n">
        <v>44</v>
      </c>
      <c r="D11" s="8" t="n">
        <v>26</v>
      </c>
      <c r="E11" s="8" t="n">
        <v>48.5</v>
      </c>
      <c r="F11" s="8" t="n">
        <v>52</v>
      </c>
      <c r="G11" s="8" t="n">
        <v>40</v>
      </c>
      <c r="H11" s="8" t="n">
        <v>50.5</v>
      </c>
      <c r="I11" s="8" t="n">
        <v>33.5</v>
      </c>
      <c r="J11" s="8" t="n">
        <v>40.5</v>
      </c>
      <c r="K11" s="8" t="n">
        <v>57.5</v>
      </c>
      <c r="L11" s="8" t="n">
        <v>54</v>
      </c>
      <c r="M11" s="8" t="n">
        <v>57</v>
      </c>
      <c r="N11" s="8" t="n">
        <v>35</v>
      </c>
      <c r="O11" s="8" t="n">
        <v>20</v>
      </c>
      <c r="P11" s="8" t="n">
        <v>43.5</v>
      </c>
    </row>
    <row r="12">
      <c r="A12" s="8" t="inlineStr">
        <is>
          <t>19939</t>
        </is>
      </c>
      <c r="B12" s="8" t="inlineStr">
        <is>
          <t>Sussex</t>
        </is>
      </c>
      <c r="C12" s="8" t="n">
        <v>16.5</v>
      </c>
      <c r="D12" s="8" t="n">
        <v>39</v>
      </c>
      <c r="E12" s="8" t="n">
        <v>38</v>
      </c>
      <c r="F12" s="8" t="n">
        <v>56</v>
      </c>
      <c r="G12" s="8" t="n">
        <v>9</v>
      </c>
      <c r="H12" s="8" t="n">
        <v>41</v>
      </c>
      <c r="I12" s="8" t="n">
        <v>28.5</v>
      </c>
      <c r="J12" s="8" t="n">
        <v>32</v>
      </c>
      <c r="K12" s="8" t="n">
        <v>61</v>
      </c>
      <c r="L12" s="8" t="n">
        <v>50.5</v>
      </c>
      <c r="M12" s="8" t="n">
        <v>54.5</v>
      </c>
      <c r="N12" s="8" t="n">
        <v>32</v>
      </c>
      <c r="O12" s="8" t="n">
        <v>17.5</v>
      </c>
      <c r="P12" s="8" t="n">
        <v>39.5</v>
      </c>
    </row>
    <row r="13">
      <c r="A13" s="8" t="inlineStr">
        <is>
          <t>19971</t>
        </is>
      </c>
      <c r="B13" s="8" t="inlineStr">
        <is>
          <t>Sussex</t>
        </is>
      </c>
      <c r="C13" s="8" t="n">
        <v>29</v>
      </c>
      <c r="D13" s="8" t="n">
        <v>50</v>
      </c>
      <c r="E13" s="8" t="n">
        <v>14</v>
      </c>
      <c r="F13" s="8" t="n">
        <v>58</v>
      </c>
      <c r="G13" s="8" t="n">
        <v>12.5</v>
      </c>
      <c r="H13" s="8" t="n">
        <v>20.5</v>
      </c>
      <c r="I13" s="8" t="n">
        <v>12</v>
      </c>
      <c r="J13" s="8" t="n">
        <v>9.5</v>
      </c>
      <c r="K13" s="8" t="n">
        <v>48</v>
      </c>
      <c r="L13" s="8" t="n">
        <v>21.5</v>
      </c>
      <c r="M13" s="8" t="n">
        <v>26</v>
      </c>
      <c r="N13" s="8" t="n">
        <v>9</v>
      </c>
      <c r="O13" s="8" t="n">
        <v>3</v>
      </c>
      <c r="P13" s="8" t="n">
        <v>11.5</v>
      </c>
    </row>
    <row r="14">
      <c r="A14" s="8" t="inlineStr">
        <is>
          <t>19951</t>
        </is>
      </c>
      <c r="B14" s="8" t="inlineStr">
        <is>
          <t>Sussex</t>
        </is>
      </c>
      <c r="C14" s="8" t="n">
        <v>32</v>
      </c>
      <c r="D14" s="8" t="n">
        <v>44</v>
      </c>
      <c r="E14" s="8" t="n">
        <v>24</v>
      </c>
      <c r="F14" s="8" t="n">
        <v>50</v>
      </c>
      <c r="G14" s="8" t="n">
        <v>15</v>
      </c>
      <c r="H14" s="8" t="n">
        <v>32.5</v>
      </c>
      <c r="I14" s="8" t="n">
        <v>23</v>
      </c>
      <c r="J14" s="8" t="n">
        <v>27</v>
      </c>
      <c r="K14" s="8" t="n">
        <v>54</v>
      </c>
      <c r="L14" s="8" t="n">
        <v>40</v>
      </c>
      <c r="M14" s="8" t="n">
        <v>43</v>
      </c>
      <c r="N14" s="8" t="n">
        <v>25</v>
      </c>
      <c r="O14" s="8" t="n">
        <v>13</v>
      </c>
      <c r="P14" s="8" t="n">
        <v>28</v>
      </c>
    </row>
    <row r="15">
      <c r="A15" s="8" t="inlineStr">
        <is>
          <t>19958</t>
        </is>
      </c>
      <c r="B15" s="8" t="inlineStr">
        <is>
          <t>Sussex</t>
        </is>
      </c>
      <c r="C15" s="8" t="n">
        <v>21.5</v>
      </c>
      <c r="D15" s="8" t="n">
        <v>45</v>
      </c>
      <c r="E15" s="8" t="n">
        <v>15</v>
      </c>
      <c r="F15" s="8" t="n">
        <v>59</v>
      </c>
      <c r="G15" s="8" t="n">
        <v>23</v>
      </c>
      <c r="H15" s="8" t="n">
        <v>34.5</v>
      </c>
      <c r="I15" s="8" t="n">
        <v>17</v>
      </c>
      <c r="J15" s="8" t="n">
        <v>19</v>
      </c>
      <c r="K15" s="8" t="n">
        <v>59.5</v>
      </c>
      <c r="L15" s="8" t="n">
        <v>40</v>
      </c>
      <c r="M15" s="8" t="n">
        <v>48.5</v>
      </c>
      <c r="N15" s="8" t="n">
        <v>20</v>
      </c>
      <c r="O15" s="8" t="n">
        <v>8.5</v>
      </c>
      <c r="P15" s="8" t="n">
        <v>18</v>
      </c>
    </row>
    <row r="16">
      <c r="A16" s="8" t="inlineStr">
        <is>
          <t>19968</t>
        </is>
      </c>
      <c r="B16" s="8" t="inlineStr">
        <is>
          <t>Sussex</t>
        </is>
      </c>
      <c r="C16" s="8" t="n">
        <v>36</v>
      </c>
      <c r="D16" s="8" t="n">
        <v>35</v>
      </c>
      <c r="E16" s="8" t="n">
        <v>25.5</v>
      </c>
      <c r="F16" s="8" t="n">
        <v>51</v>
      </c>
      <c r="G16" s="8" t="n">
        <v>25</v>
      </c>
      <c r="H16" s="8" t="n">
        <v>30.5</v>
      </c>
      <c r="I16" s="8" t="n">
        <v>24.5</v>
      </c>
      <c r="J16" s="8" t="n">
        <v>28</v>
      </c>
      <c r="K16" s="8" t="n">
        <v>50</v>
      </c>
      <c r="L16" s="8" t="n">
        <v>42.5</v>
      </c>
      <c r="M16" s="8" t="n">
        <v>43</v>
      </c>
      <c r="N16" s="8" t="n">
        <v>27.5</v>
      </c>
      <c r="O16" s="8" t="n">
        <v>14</v>
      </c>
      <c r="P16" s="8" t="n">
        <v>29.5</v>
      </c>
    </row>
    <row r="17">
      <c r="A17" s="8" t="inlineStr">
        <is>
          <t>19973</t>
        </is>
      </c>
      <c r="B17" s="8" t="inlineStr">
        <is>
          <t>Sussex</t>
        </is>
      </c>
      <c r="C17" s="8" t="n">
        <v>56</v>
      </c>
      <c r="D17" s="8" t="n">
        <v>8</v>
      </c>
      <c r="E17" s="8" t="n">
        <v>43.5</v>
      </c>
      <c r="F17" s="8" t="n">
        <v>38</v>
      </c>
      <c r="G17" s="8" t="n">
        <v>44</v>
      </c>
      <c r="H17" s="8" t="n">
        <v>57</v>
      </c>
      <c r="I17" s="8" t="n">
        <v>43</v>
      </c>
      <c r="J17" s="8" t="n">
        <v>59</v>
      </c>
      <c r="K17" s="8" t="n">
        <v>52.5</v>
      </c>
      <c r="L17" s="8" t="n">
        <v>60.5</v>
      </c>
      <c r="M17" s="8" t="n">
        <v>59.5</v>
      </c>
      <c r="N17" s="8" t="n">
        <v>53.5</v>
      </c>
      <c r="O17" s="8" t="n">
        <v>38</v>
      </c>
      <c r="P17" s="8" t="n">
        <v>61</v>
      </c>
    </row>
    <row r="18">
      <c r="A18" s="8" t="inlineStr">
        <is>
          <t>19947</t>
        </is>
      </c>
      <c r="B18" s="8" t="inlineStr">
        <is>
          <t>Sussex</t>
        </is>
      </c>
      <c r="C18" s="8" t="n">
        <v>43</v>
      </c>
      <c r="D18" s="8" t="n">
        <v>15</v>
      </c>
      <c r="E18" s="8" t="n">
        <v>61</v>
      </c>
      <c r="F18" s="8" t="n">
        <v>32</v>
      </c>
      <c r="G18" s="8" t="n">
        <v>64</v>
      </c>
      <c r="H18" s="8" t="n">
        <v>30.5</v>
      </c>
      <c r="I18" s="8" t="n">
        <v>37.5</v>
      </c>
      <c r="J18" s="8" t="n">
        <v>61</v>
      </c>
      <c r="K18" s="8" t="n">
        <v>41.5</v>
      </c>
      <c r="L18" s="8" t="n">
        <v>45.5</v>
      </c>
      <c r="M18" s="8" t="n">
        <v>38.5</v>
      </c>
      <c r="N18" s="8" t="n">
        <v>55.5</v>
      </c>
      <c r="O18" s="8" t="n">
        <v>38</v>
      </c>
      <c r="P18" s="8" t="n">
        <v>60</v>
      </c>
    </row>
    <row r="19">
      <c r="A19" s="8" t="inlineStr">
        <is>
          <t>19933</t>
        </is>
      </c>
      <c r="B19" s="8" t="inlineStr">
        <is>
          <t>Sussex</t>
        </is>
      </c>
      <c r="C19" s="8" t="n">
        <v>57</v>
      </c>
      <c r="D19" s="8" t="n">
        <v>7</v>
      </c>
      <c r="E19" s="8" t="n">
        <v>55</v>
      </c>
      <c r="F19" s="8" t="n">
        <v>40</v>
      </c>
      <c r="G19" s="8" t="n">
        <v>56</v>
      </c>
      <c r="H19" s="8" t="n">
        <v>60</v>
      </c>
      <c r="I19" s="8" t="n">
        <v>42</v>
      </c>
      <c r="J19" s="8" t="n">
        <v>56</v>
      </c>
      <c r="K19" s="8" t="n">
        <v>55.5</v>
      </c>
      <c r="L19" s="8" t="n">
        <v>59</v>
      </c>
      <c r="M19" s="8" t="n">
        <v>59.5</v>
      </c>
      <c r="N19" s="8" t="n">
        <v>50</v>
      </c>
      <c r="O19" s="8" t="n">
        <v>27</v>
      </c>
      <c r="P19" s="8" t="n">
        <v>56</v>
      </c>
    </row>
    <row r="20">
      <c r="A20" s="8" t="inlineStr">
        <is>
          <t>19941</t>
        </is>
      </c>
      <c r="B20" s="8" t="inlineStr">
        <is>
          <t>Sussex</t>
        </is>
      </c>
      <c r="C20" s="8" t="n">
        <v>55</v>
      </c>
      <c r="D20" s="8" t="n">
        <v>19</v>
      </c>
      <c r="E20" s="8" t="n">
        <v>59</v>
      </c>
      <c r="F20" s="8" t="n">
        <v>6</v>
      </c>
      <c r="G20" s="8" t="n">
        <v>27</v>
      </c>
      <c r="H20" s="8" t="n">
        <v>48.5</v>
      </c>
      <c r="I20" s="8" t="n">
        <v>46.5</v>
      </c>
      <c r="J20" s="8" t="n">
        <v>54.5</v>
      </c>
      <c r="K20" s="8" t="n">
        <v>38.5</v>
      </c>
      <c r="L20" s="8" t="n">
        <v>47.5</v>
      </c>
      <c r="M20" s="8" t="n">
        <v>48.5</v>
      </c>
      <c r="N20" s="8" t="n">
        <v>52</v>
      </c>
      <c r="O20" s="8" t="n">
        <v>48</v>
      </c>
      <c r="P20" s="8" t="n">
        <v>63</v>
      </c>
    </row>
    <row r="21">
      <c r="A21" s="8" t="inlineStr">
        <is>
          <t>19950</t>
        </is>
      </c>
      <c r="B21" s="8" t="inlineStr">
        <is>
          <t>Sussex</t>
        </is>
      </c>
      <c r="C21" s="8" t="n">
        <v>23.5</v>
      </c>
      <c r="D21" s="8" t="n">
        <v>20</v>
      </c>
      <c r="E21" s="8" t="n">
        <v>48.5</v>
      </c>
      <c r="F21" s="8" t="n">
        <v>31</v>
      </c>
      <c r="G21" s="8" t="n">
        <v>18</v>
      </c>
      <c r="H21" s="8" t="n">
        <v>45</v>
      </c>
      <c r="I21" s="8" t="n">
        <v>39.5</v>
      </c>
      <c r="J21" s="8" t="n">
        <v>52</v>
      </c>
      <c r="K21" s="8" t="n">
        <v>51</v>
      </c>
      <c r="L21" s="8" t="n">
        <v>62</v>
      </c>
      <c r="M21" s="8" t="n">
        <v>54.5</v>
      </c>
      <c r="N21" s="8" t="n">
        <v>48</v>
      </c>
      <c r="O21" s="8" t="n">
        <v>45.5</v>
      </c>
      <c r="P21" s="8" t="n">
        <v>58.5</v>
      </c>
    </row>
    <row r="22">
      <c r="A22" s="8" t="inlineStr">
        <is>
          <t>19960</t>
        </is>
      </c>
      <c r="B22" s="8" t="inlineStr">
        <is>
          <t>Sussex</t>
        </is>
      </c>
      <c r="C22" s="8" t="n">
        <v>38</v>
      </c>
      <c r="D22" s="8" t="n">
        <v>13</v>
      </c>
      <c r="E22" s="8" t="n">
        <v>37</v>
      </c>
      <c r="F22" s="8" t="n">
        <v>14.5</v>
      </c>
      <c r="G22" s="8" t="n">
        <v>52</v>
      </c>
      <c r="H22" s="8" t="n">
        <v>36.5</v>
      </c>
      <c r="I22" s="8" t="n">
        <v>39.5</v>
      </c>
      <c r="J22" s="8" t="n">
        <v>47</v>
      </c>
      <c r="K22" s="8" t="n">
        <v>38.5</v>
      </c>
      <c r="L22" s="8" t="n">
        <v>42.5</v>
      </c>
      <c r="M22" s="8" t="n">
        <v>43</v>
      </c>
      <c r="N22" s="8" t="n">
        <v>43</v>
      </c>
      <c r="O22" s="8" t="n">
        <v>32</v>
      </c>
      <c r="P22" s="8" t="n">
        <v>52</v>
      </c>
    </row>
    <row r="23">
      <c r="A23" s="8" t="inlineStr">
        <is>
          <t>19954</t>
        </is>
      </c>
      <c r="B23" s="8" t="inlineStr">
        <is>
          <t>Kent</t>
        </is>
      </c>
      <c r="C23" s="8" t="n">
        <v>61</v>
      </c>
      <c r="D23" s="8" t="n">
        <v>6</v>
      </c>
      <c r="E23" s="8" t="n">
        <v>11.5</v>
      </c>
      <c r="F23" s="8" t="n">
        <v>49</v>
      </c>
      <c r="G23" s="8" t="n">
        <v>8</v>
      </c>
      <c r="H23" s="8" t="n">
        <v>61</v>
      </c>
      <c r="I23" s="8" t="n">
        <v>62</v>
      </c>
      <c r="J23" s="8" t="n">
        <v>60</v>
      </c>
      <c r="K23" s="8" t="n">
        <v>55.5</v>
      </c>
      <c r="L23" s="8" t="n">
        <v>63.5</v>
      </c>
      <c r="M23" s="8" t="n">
        <v>59.5</v>
      </c>
      <c r="N23" s="8" t="n">
        <v>61.5</v>
      </c>
      <c r="O23" s="8" t="n">
        <v>51</v>
      </c>
      <c r="P23" s="8" t="n">
        <v>51</v>
      </c>
    </row>
    <row r="24">
      <c r="A24" s="8" t="inlineStr">
        <is>
          <t>19952</t>
        </is>
      </c>
      <c r="B24" s="8" t="inlineStr">
        <is>
          <t>Kent</t>
        </is>
      </c>
      <c r="C24" s="8" t="n">
        <v>28</v>
      </c>
      <c r="D24" s="8" t="n">
        <v>23</v>
      </c>
      <c r="E24" s="8" t="n">
        <v>34.5</v>
      </c>
      <c r="F24" s="8" t="n">
        <v>25</v>
      </c>
      <c r="G24" s="8" t="n">
        <v>22</v>
      </c>
      <c r="H24" s="8" t="n">
        <v>45</v>
      </c>
      <c r="I24" s="8" t="n">
        <v>58.5</v>
      </c>
      <c r="J24" s="8" t="n">
        <v>44</v>
      </c>
      <c r="K24" s="8" t="n">
        <v>36</v>
      </c>
      <c r="L24" s="8" t="n">
        <v>45.5</v>
      </c>
      <c r="M24" s="8" t="n">
        <v>35.5</v>
      </c>
      <c r="N24" s="8" t="n">
        <v>47</v>
      </c>
      <c r="O24" s="8" t="n">
        <v>52</v>
      </c>
      <c r="P24" s="8" t="n">
        <v>45</v>
      </c>
    </row>
    <row r="25">
      <c r="A25" s="8" t="inlineStr">
        <is>
          <t>19963</t>
        </is>
      </c>
      <c r="B25" s="8" t="inlineStr">
        <is>
          <t>Sussex</t>
        </is>
      </c>
      <c r="C25" s="8" t="n">
        <v>45</v>
      </c>
      <c r="D25" s="8" t="n">
        <v>14</v>
      </c>
      <c r="E25" s="8" t="n">
        <v>27</v>
      </c>
      <c r="F25" s="8" t="n">
        <v>41</v>
      </c>
      <c r="G25" s="8" t="n">
        <v>47</v>
      </c>
      <c r="H25" s="8" t="n">
        <v>48.5</v>
      </c>
      <c r="I25" s="8" t="n">
        <v>45</v>
      </c>
      <c r="J25" s="8" t="n">
        <v>45</v>
      </c>
      <c r="K25" s="8" t="n">
        <v>46.5</v>
      </c>
      <c r="L25" s="8" t="n">
        <v>47.5</v>
      </c>
      <c r="M25" s="8" t="n">
        <v>48.5</v>
      </c>
      <c r="N25" s="8" t="n">
        <v>44</v>
      </c>
      <c r="O25" s="8" t="n">
        <v>30.5</v>
      </c>
      <c r="P25" s="8" t="n">
        <v>47</v>
      </c>
    </row>
    <row r="26">
      <c r="A26" s="8" t="inlineStr">
        <is>
          <t>19943</t>
        </is>
      </c>
      <c r="B26" s="8" t="inlineStr">
        <is>
          <t>Kent</t>
        </is>
      </c>
      <c r="C26" s="8" t="n">
        <v>34.5</v>
      </c>
      <c r="D26" s="8" t="n">
        <v>18</v>
      </c>
      <c r="E26" s="8" t="n">
        <v>29</v>
      </c>
      <c r="F26" s="8" t="n">
        <v>35.5</v>
      </c>
      <c r="G26" s="8" t="n">
        <v>10</v>
      </c>
      <c r="H26" s="8" t="n">
        <v>40</v>
      </c>
      <c r="I26" s="8" t="n">
        <v>52</v>
      </c>
      <c r="J26" s="8" t="n">
        <v>39</v>
      </c>
      <c r="K26" s="8" t="n">
        <v>31</v>
      </c>
      <c r="L26" s="8" t="n">
        <v>34</v>
      </c>
      <c r="M26" s="8" t="n">
        <v>29.5</v>
      </c>
      <c r="N26" s="8" t="n">
        <v>42</v>
      </c>
      <c r="O26" s="8" t="n">
        <v>47</v>
      </c>
      <c r="P26" s="8" t="n">
        <v>36.5</v>
      </c>
    </row>
    <row r="27">
      <c r="A27" s="8" t="inlineStr">
        <is>
          <t>19946</t>
        </is>
      </c>
      <c r="B27" s="8" t="inlineStr">
        <is>
          <t>Kent</t>
        </is>
      </c>
      <c r="C27" s="8" t="n">
        <v>31</v>
      </c>
      <c r="D27" s="8" t="n">
        <v>28</v>
      </c>
      <c r="E27" s="8" t="n">
        <v>25.5</v>
      </c>
      <c r="F27" s="8" t="n">
        <v>28</v>
      </c>
      <c r="G27" s="8" t="n">
        <v>11</v>
      </c>
      <c r="H27" s="8" t="n">
        <v>50.5</v>
      </c>
      <c r="I27" s="8" t="n">
        <v>58.5</v>
      </c>
      <c r="J27" s="8" t="n">
        <v>42</v>
      </c>
      <c r="K27" s="8" t="n">
        <v>34.5</v>
      </c>
      <c r="L27" s="8" t="n">
        <v>37</v>
      </c>
      <c r="M27" s="8" t="n">
        <v>32.5</v>
      </c>
      <c r="N27" s="8" t="n">
        <v>45</v>
      </c>
      <c r="O27" s="8" t="n">
        <v>45.5</v>
      </c>
      <c r="P27" s="8" t="n">
        <v>35</v>
      </c>
    </row>
    <row r="28">
      <c r="A28" s="8" t="inlineStr">
        <is>
          <t>19979</t>
        </is>
      </c>
      <c r="B28" s="8" t="inlineStr">
        <is>
          <t>Kent</t>
        </is>
      </c>
      <c r="C28" s="8" t="n">
        <v>33</v>
      </c>
      <c r="D28" s="8" t="n">
        <v>17</v>
      </c>
      <c r="E28" s="8" t="n">
        <v>62</v>
      </c>
      <c r="F28" s="8" t="n">
        <v>12</v>
      </c>
      <c r="G28" s="8" t="n">
        <v>28</v>
      </c>
      <c r="H28" s="8" t="n">
        <v>45</v>
      </c>
      <c r="I28" s="8" t="n">
        <v>55</v>
      </c>
      <c r="J28" s="8" t="n">
        <v>46</v>
      </c>
      <c r="K28" s="8" t="n">
        <v>41.5</v>
      </c>
      <c r="L28" s="8" t="n">
        <v>49</v>
      </c>
      <c r="M28" s="8" t="n">
        <v>38.5</v>
      </c>
      <c r="N28" s="8" t="n">
        <v>49</v>
      </c>
      <c r="O28" s="8" t="n">
        <v>53.5</v>
      </c>
      <c r="P28" s="8" t="n">
        <v>48</v>
      </c>
    </row>
    <row r="29">
      <c r="A29" s="8" t="inlineStr">
        <is>
          <t>19980</t>
        </is>
      </c>
      <c r="B29" s="8" t="inlineStr">
        <is>
          <t>Kent</t>
        </is>
      </c>
      <c r="C29" s="8" t="n">
        <v>62</v>
      </c>
      <c r="D29" s="8" t="n">
        <v>33</v>
      </c>
      <c r="E29" s="8" t="n">
        <v>57</v>
      </c>
      <c r="F29" s="8" t="n">
        <v>18.5</v>
      </c>
      <c r="G29" s="8" t="n">
        <v>3</v>
      </c>
      <c r="H29" s="8" t="n">
        <v>58.5</v>
      </c>
      <c r="I29" s="8" t="n">
        <v>54</v>
      </c>
      <c r="J29" s="8" t="n">
        <v>50</v>
      </c>
      <c r="K29" s="8" t="n">
        <v>49</v>
      </c>
      <c r="L29" s="8" t="n">
        <v>57</v>
      </c>
      <c r="M29" s="8" t="n">
        <v>52</v>
      </c>
      <c r="N29" s="8" t="n">
        <v>53.5</v>
      </c>
      <c r="O29" s="8" t="n">
        <v>49.5</v>
      </c>
      <c r="P29" s="8" t="n">
        <v>46</v>
      </c>
    </row>
    <row r="30">
      <c r="A30" s="8" t="inlineStr">
        <is>
          <t>19962</t>
        </is>
      </c>
      <c r="B30" s="8" t="inlineStr">
        <is>
          <t>Kent</t>
        </is>
      </c>
      <c r="C30" s="8" t="n">
        <v>19.5</v>
      </c>
      <c r="D30" s="8" t="n">
        <v>51</v>
      </c>
      <c r="E30" s="8" t="n">
        <v>20.5</v>
      </c>
      <c r="F30" s="8" t="n">
        <v>29</v>
      </c>
      <c r="G30" s="8" t="n">
        <v>39</v>
      </c>
      <c r="H30" s="8" t="n">
        <v>32.5</v>
      </c>
      <c r="I30" s="8" t="n">
        <v>49.5</v>
      </c>
      <c r="J30" s="8" t="n">
        <v>33.5</v>
      </c>
      <c r="K30" s="8" t="n">
        <v>16</v>
      </c>
      <c r="L30" s="8" t="n">
        <v>23.5</v>
      </c>
      <c r="M30" s="8" t="n">
        <v>22</v>
      </c>
      <c r="N30" s="8" t="n">
        <v>38</v>
      </c>
      <c r="O30" s="8" t="n">
        <v>44</v>
      </c>
      <c r="P30" s="8" t="n">
        <v>29.5</v>
      </c>
    </row>
    <row r="31">
      <c r="A31" s="8" t="inlineStr">
        <is>
          <t>19934</t>
        </is>
      </c>
      <c r="B31" s="8" t="inlineStr">
        <is>
          <t>Kent</t>
        </is>
      </c>
      <c r="C31" s="8" t="n">
        <v>26.5</v>
      </c>
      <c r="D31" s="8" t="n">
        <v>34</v>
      </c>
      <c r="E31" s="8" t="n">
        <v>45</v>
      </c>
      <c r="F31" s="8" t="n">
        <v>37</v>
      </c>
      <c r="G31" s="8" t="n">
        <v>48</v>
      </c>
      <c r="H31" s="8" t="n">
        <v>36.5</v>
      </c>
      <c r="I31" s="8" t="n">
        <v>48</v>
      </c>
      <c r="J31" s="8" t="n">
        <v>33.5</v>
      </c>
      <c r="K31" s="8" t="n">
        <v>28</v>
      </c>
      <c r="L31" s="8" t="n">
        <v>29.5</v>
      </c>
      <c r="M31" s="8" t="n">
        <v>26</v>
      </c>
      <c r="N31" s="8" t="n">
        <v>37</v>
      </c>
      <c r="O31" s="8" t="n">
        <v>38</v>
      </c>
      <c r="P31" s="8" t="n">
        <v>31</v>
      </c>
    </row>
    <row r="32">
      <c r="A32" s="8" t="inlineStr">
        <is>
          <t>19964</t>
        </is>
      </c>
      <c r="B32" s="8" t="inlineStr">
        <is>
          <t>Kent</t>
        </is>
      </c>
      <c r="C32" s="8" t="n">
        <v>13.5</v>
      </c>
      <c r="D32" s="8" t="n">
        <v>48</v>
      </c>
      <c r="E32" s="8" t="n">
        <v>64</v>
      </c>
      <c r="F32" s="8" t="n">
        <v>4</v>
      </c>
      <c r="G32" s="8" t="n">
        <v>61</v>
      </c>
      <c r="H32" s="8" t="n">
        <v>52</v>
      </c>
      <c r="I32" s="8" t="n">
        <v>52</v>
      </c>
      <c r="J32" s="8" t="n">
        <v>57.5</v>
      </c>
      <c r="K32" s="8" t="n">
        <v>45</v>
      </c>
      <c r="L32" s="8" t="n">
        <v>60.5</v>
      </c>
      <c r="M32" s="8" t="n">
        <v>48.5</v>
      </c>
      <c r="N32" s="8" t="n">
        <v>61.5</v>
      </c>
      <c r="O32" s="8" t="n">
        <v>60</v>
      </c>
      <c r="P32" s="8" t="n">
        <v>53</v>
      </c>
    </row>
    <row r="33">
      <c r="A33" s="8" t="inlineStr">
        <is>
          <t>19902</t>
        </is>
      </c>
      <c r="B33" s="8" t="inlineStr">
        <is>
          <t>Kent</t>
        </is>
      </c>
      <c r="C33" s="8" t="n"/>
      <c r="D33" s="8" t="n"/>
      <c r="E33" s="8" t="n"/>
      <c r="F33" s="8" t="n">
        <v>1.5</v>
      </c>
      <c r="G33" s="8" t="n">
        <v>53</v>
      </c>
      <c r="H33" s="8" t="n">
        <v>1</v>
      </c>
      <c r="I33" s="8" t="n">
        <v>10</v>
      </c>
      <c r="J33" s="8" t="n">
        <v>8</v>
      </c>
      <c r="K33" s="8" t="n">
        <v>1</v>
      </c>
      <c r="L33" s="8" t="n">
        <v>1</v>
      </c>
      <c r="M33" s="8" t="n">
        <v>1</v>
      </c>
      <c r="N33" s="8" t="n">
        <v>11</v>
      </c>
      <c r="O33" s="8" t="n">
        <v>64</v>
      </c>
      <c r="P33" s="8" t="n">
        <v>2.5</v>
      </c>
    </row>
    <row r="34">
      <c r="A34" s="8" t="inlineStr">
        <is>
          <t>19953</t>
        </is>
      </c>
      <c r="B34" s="8" t="inlineStr">
        <is>
          <t>Kent</t>
        </is>
      </c>
      <c r="C34" s="8" t="n">
        <v>25</v>
      </c>
      <c r="D34" s="8" t="n">
        <v>30</v>
      </c>
      <c r="E34" s="8" t="n">
        <v>63</v>
      </c>
      <c r="F34" s="8" t="n">
        <v>8.5</v>
      </c>
      <c r="G34" s="8" t="n">
        <v>35</v>
      </c>
      <c r="H34" s="8" t="n">
        <v>45</v>
      </c>
      <c r="I34" s="8" t="n">
        <v>56.5</v>
      </c>
      <c r="J34" s="8" t="n">
        <v>54.5</v>
      </c>
      <c r="K34" s="8" t="n">
        <v>41.5</v>
      </c>
      <c r="L34" s="8" t="n">
        <v>58</v>
      </c>
      <c r="M34" s="8" t="n">
        <v>38.5</v>
      </c>
      <c r="N34" s="8" t="n">
        <v>59</v>
      </c>
      <c r="O34" s="8" t="n">
        <v>62</v>
      </c>
      <c r="P34" s="8" t="n">
        <v>57</v>
      </c>
    </row>
    <row r="35">
      <c r="A35" s="8" t="inlineStr">
        <is>
          <t>19904</t>
        </is>
      </c>
      <c r="B35" s="8" t="inlineStr">
        <is>
          <t>Kent</t>
        </is>
      </c>
      <c r="C35" s="8" t="n">
        <v>51.5</v>
      </c>
      <c r="D35" s="8" t="n">
        <v>12</v>
      </c>
      <c r="E35" s="8" t="n">
        <v>48.5</v>
      </c>
      <c r="F35" s="8" t="n">
        <v>33</v>
      </c>
      <c r="G35" s="8" t="n">
        <v>43</v>
      </c>
      <c r="H35" s="8" t="n">
        <v>58.5</v>
      </c>
      <c r="I35" s="8" t="n">
        <v>63</v>
      </c>
      <c r="J35" s="8" t="n">
        <v>49</v>
      </c>
      <c r="K35" s="8" t="n">
        <v>32.5</v>
      </c>
      <c r="L35" s="8" t="n">
        <v>37</v>
      </c>
      <c r="M35" s="8" t="n">
        <v>43</v>
      </c>
      <c r="N35" s="8" t="n">
        <v>57</v>
      </c>
      <c r="O35" s="8" t="n">
        <v>55</v>
      </c>
      <c r="P35" s="8" t="n">
        <v>39.5</v>
      </c>
    </row>
    <row r="36">
      <c r="A36" s="8" t="inlineStr">
        <is>
          <t>19901</t>
        </is>
      </c>
      <c r="B36" s="8" t="inlineStr">
        <is>
          <t>Kent</t>
        </is>
      </c>
      <c r="C36" s="8" t="n">
        <v>51.5</v>
      </c>
      <c r="D36" s="8" t="n">
        <v>11</v>
      </c>
      <c r="E36" s="8" t="n">
        <v>39.5</v>
      </c>
      <c r="F36" s="8" t="n">
        <v>24</v>
      </c>
      <c r="G36" s="8" t="n">
        <v>30</v>
      </c>
      <c r="H36" s="8" t="n">
        <v>53</v>
      </c>
      <c r="I36" s="8" t="n">
        <v>61</v>
      </c>
      <c r="J36" s="8" t="n">
        <v>51</v>
      </c>
      <c r="K36" s="8" t="n">
        <v>28</v>
      </c>
      <c r="L36" s="8" t="n">
        <v>34</v>
      </c>
      <c r="M36" s="8" t="n">
        <v>38.5</v>
      </c>
      <c r="N36" s="8" t="n">
        <v>58</v>
      </c>
      <c r="O36" s="8" t="n">
        <v>61</v>
      </c>
      <c r="P36" s="8" t="n">
        <v>39.5</v>
      </c>
    </row>
    <row r="37">
      <c r="A37" s="8" t="inlineStr">
        <is>
          <t>19936</t>
        </is>
      </c>
      <c r="B37" s="8" t="inlineStr">
        <is>
          <t>Kent</t>
        </is>
      </c>
      <c r="C37" s="8" t="n">
        <v>42</v>
      </c>
      <c r="D37" s="8" t="n">
        <v>1</v>
      </c>
      <c r="E37" s="8" t="n">
        <v>7</v>
      </c>
      <c r="F37" s="8" t="n">
        <v>47</v>
      </c>
      <c r="G37" s="8" t="n">
        <v>63</v>
      </c>
      <c r="H37" s="8" t="n">
        <v>65</v>
      </c>
      <c r="I37" s="8" t="n">
        <v>65</v>
      </c>
      <c r="J37" s="8" t="n">
        <v>63</v>
      </c>
      <c r="K37" s="8" t="n">
        <v>52.5</v>
      </c>
      <c r="L37" s="8" t="n">
        <v>63.5</v>
      </c>
      <c r="M37" s="8" t="n">
        <v>63</v>
      </c>
      <c r="N37" s="8" t="n">
        <v>64</v>
      </c>
      <c r="O37" s="8" t="n">
        <v>59</v>
      </c>
      <c r="P37" s="8" t="n">
        <v>58.5</v>
      </c>
    </row>
    <row r="38">
      <c r="A38" s="8" t="inlineStr">
        <is>
          <t>19955</t>
        </is>
      </c>
      <c r="B38" s="8" t="inlineStr">
        <is>
          <t>Kent</t>
        </is>
      </c>
      <c r="C38" s="8" t="n">
        <v>9</v>
      </c>
      <c r="D38" s="8" t="n">
        <v>2</v>
      </c>
      <c r="E38" s="8" t="n">
        <v>3</v>
      </c>
      <c r="F38" s="8" t="n">
        <v>3</v>
      </c>
      <c r="G38" s="8" t="n">
        <v>3</v>
      </c>
      <c r="H38" s="8" t="n">
        <v>55</v>
      </c>
      <c r="I38" s="8" t="n">
        <v>60</v>
      </c>
      <c r="J38" s="8" t="n">
        <v>48</v>
      </c>
      <c r="K38" s="8" t="n">
        <v>41.5</v>
      </c>
      <c r="L38" s="8" t="n">
        <v>54</v>
      </c>
      <c r="M38" s="8" t="n">
        <v>43</v>
      </c>
      <c r="N38" s="8" t="n">
        <v>51</v>
      </c>
      <c r="O38" s="8" t="n">
        <v>58</v>
      </c>
      <c r="P38" s="8" t="n">
        <v>50</v>
      </c>
    </row>
    <row r="39">
      <c r="A39" s="8" t="inlineStr">
        <is>
          <t>19938</t>
        </is>
      </c>
      <c r="B39" s="8" t="inlineStr">
        <is>
          <t>Kent</t>
        </is>
      </c>
      <c r="C39" s="8" t="n">
        <v>21.5</v>
      </c>
      <c r="D39" s="8" t="n">
        <v>49</v>
      </c>
      <c r="E39" s="8" t="n">
        <v>36</v>
      </c>
      <c r="F39" s="8" t="n">
        <v>10</v>
      </c>
      <c r="G39" s="8" t="n">
        <v>18</v>
      </c>
      <c r="H39" s="8" t="n">
        <v>28</v>
      </c>
      <c r="I39" s="8" t="n">
        <v>52</v>
      </c>
      <c r="J39" s="8" t="n">
        <v>35</v>
      </c>
      <c r="K39" s="8" t="n">
        <v>16</v>
      </c>
      <c r="L39" s="8" t="n">
        <v>31</v>
      </c>
      <c r="M39" s="8" t="n">
        <v>20</v>
      </c>
      <c r="N39" s="8" t="n">
        <v>39</v>
      </c>
      <c r="O39" s="8" t="n">
        <v>53.5</v>
      </c>
      <c r="P39" s="8" t="n">
        <v>43.5</v>
      </c>
    </row>
    <row r="40">
      <c r="A40" s="8" t="inlineStr">
        <is>
          <t>19977</t>
        </is>
      </c>
      <c r="B40" s="8" t="inlineStr">
        <is>
          <t>Kent</t>
        </is>
      </c>
      <c r="C40" s="8" t="n">
        <v>37</v>
      </c>
      <c r="D40" s="8" t="n">
        <v>24</v>
      </c>
      <c r="E40" s="8" t="n">
        <v>30</v>
      </c>
      <c r="F40" s="8" t="n">
        <v>34</v>
      </c>
      <c r="G40" s="8" t="n">
        <v>31.5</v>
      </c>
      <c r="H40" s="8" t="n">
        <v>38.5</v>
      </c>
      <c r="I40" s="8" t="n">
        <v>49.5</v>
      </c>
      <c r="J40" s="8" t="n">
        <v>37</v>
      </c>
      <c r="K40" s="8" t="n">
        <v>20.5</v>
      </c>
      <c r="L40" s="8" t="n">
        <v>25</v>
      </c>
      <c r="M40" s="8" t="n">
        <v>26</v>
      </c>
      <c r="N40" s="8" t="n">
        <v>40</v>
      </c>
      <c r="O40" s="8" t="n">
        <v>42</v>
      </c>
      <c r="P40" s="8" t="n">
        <v>34</v>
      </c>
    </row>
    <row r="41">
      <c r="A41" s="8" t="inlineStr">
        <is>
          <t>19734</t>
        </is>
      </c>
      <c r="B41" s="8" t="inlineStr">
        <is>
          <t>New Castle</t>
        </is>
      </c>
      <c r="C41" s="8" t="n">
        <v>18</v>
      </c>
      <c r="D41" s="8" t="n">
        <v>57</v>
      </c>
      <c r="E41" s="8" t="n">
        <v>16.5</v>
      </c>
      <c r="F41" s="8" t="n">
        <v>16</v>
      </c>
      <c r="G41" s="8" t="n">
        <v>16</v>
      </c>
      <c r="H41" s="8" t="n">
        <v>10</v>
      </c>
      <c r="I41" s="8" t="n">
        <v>22</v>
      </c>
      <c r="J41" s="8" t="n">
        <v>14.5</v>
      </c>
      <c r="K41" s="8" t="n">
        <v>8</v>
      </c>
      <c r="L41" s="8" t="n">
        <v>14</v>
      </c>
      <c r="M41" s="8" t="n">
        <v>11</v>
      </c>
      <c r="N41" s="8" t="n">
        <v>14</v>
      </c>
      <c r="O41" s="8" t="n">
        <v>25.5</v>
      </c>
      <c r="P41" s="8" t="n">
        <v>20.5</v>
      </c>
    </row>
    <row r="42">
      <c r="A42" s="8" t="inlineStr">
        <is>
          <t>19730</t>
        </is>
      </c>
      <c r="B42" s="8" t="inlineStr">
        <is>
          <t>New Castle</t>
        </is>
      </c>
      <c r="C42" s="8" t="n">
        <v>4.5</v>
      </c>
      <c r="D42" s="8" t="n">
        <v>53</v>
      </c>
      <c r="E42" s="8" t="n">
        <v>51.5</v>
      </c>
      <c r="F42" s="8" t="n">
        <v>46</v>
      </c>
      <c r="G42" s="8" t="n">
        <v>20.5</v>
      </c>
      <c r="H42" s="8" t="n">
        <v>4</v>
      </c>
      <c r="I42" s="8" t="n">
        <v>11</v>
      </c>
      <c r="J42" s="8" t="n">
        <v>4</v>
      </c>
      <c r="K42" s="8" t="n">
        <v>8</v>
      </c>
      <c r="L42" s="8" t="n">
        <v>6</v>
      </c>
      <c r="M42" s="8" t="n">
        <v>3.5</v>
      </c>
      <c r="N42" s="8" t="n">
        <v>3.5</v>
      </c>
      <c r="O42" s="8" t="n">
        <v>17.5</v>
      </c>
      <c r="P42" s="8" t="n">
        <v>10</v>
      </c>
    </row>
    <row r="43">
      <c r="A43" s="8" t="inlineStr">
        <is>
          <t>19709</t>
        </is>
      </c>
      <c r="B43" s="8" t="inlineStr">
        <is>
          <t>New Castle</t>
        </is>
      </c>
      <c r="C43" s="8" t="n">
        <v>15</v>
      </c>
      <c r="D43" s="8" t="n">
        <v>58</v>
      </c>
      <c r="E43" s="8" t="n">
        <v>11.5</v>
      </c>
      <c r="F43" s="8" t="n">
        <v>21</v>
      </c>
      <c r="G43" s="8" t="n">
        <v>38</v>
      </c>
      <c r="H43" s="8" t="n">
        <v>8</v>
      </c>
      <c r="I43" s="8" t="n">
        <v>20</v>
      </c>
      <c r="J43" s="8" t="n">
        <v>13</v>
      </c>
      <c r="K43" s="8" t="n">
        <v>4</v>
      </c>
      <c r="L43" s="8" t="n">
        <v>5</v>
      </c>
      <c r="M43" s="8" t="n">
        <v>5.5</v>
      </c>
      <c r="N43" s="8" t="n">
        <v>13</v>
      </c>
      <c r="O43" s="8" t="n">
        <v>23</v>
      </c>
      <c r="P43" s="8" t="n">
        <v>14.5</v>
      </c>
    </row>
    <row r="44">
      <c r="A44" s="8" t="inlineStr">
        <is>
          <t>19731</t>
        </is>
      </c>
      <c r="B44" s="8" t="inlineStr">
        <is>
          <t>New Castle</t>
        </is>
      </c>
      <c r="C44" s="8" t="n">
        <v>11</v>
      </c>
      <c r="D44" s="8" t="n">
        <v>16</v>
      </c>
      <c r="E44" s="8" t="n">
        <v>31.5</v>
      </c>
      <c r="F44" s="8" t="n">
        <v>62</v>
      </c>
      <c r="G44" s="8" t="n">
        <v>3</v>
      </c>
      <c r="H44" s="8" t="n">
        <v>6</v>
      </c>
      <c r="I44" s="8" t="n">
        <v>13.5</v>
      </c>
      <c r="J44" s="8" t="n">
        <v>9.5</v>
      </c>
      <c r="K44" s="8" t="n">
        <v>10</v>
      </c>
      <c r="L44" s="8" t="n">
        <v>17</v>
      </c>
      <c r="M44" s="8" t="n">
        <v>8</v>
      </c>
      <c r="N44" s="8" t="n">
        <v>8</v>
      </c>
      <c r="O44" s="8" t="n">
        <v>21.5</v>
      </c>
      <c r="P44" s="8" t="n">
        <v>16</v>
      </c>
    </row>
    <row r="45">
      <c r="A45" s="8" t="inlineStr">
        <is>
          <t>19733</t>
        </is>
      </c>
      <c r="B45" s="8" t="inlineStr">
        <is>
          <t>New Castle</t>
        </is>
      </c>
      <c r="C45" s="8" t="n">
        <v>1.5</v>
      </c>
      <c r="D45" s="8" t="n">
        <v>31</v>
      </c>
      <c r="E45" s="8" t="n">
        <v>60</v>
      </c>
      <c r="F45" s="8" t="n">
        <v>7</v>
      </c>
      <c r="G45" s="8" t="n">
        <v>65</v>
      </c>
      <c r="H45" s="8" t="n">
        <v>25.5</v>
      </c>
      <c r="I45" s="8" t="n">
        <v>33.5</v>
      </c>
      <c r="J45" s="8" t="n">
        <v>31</v>
      </c>
      <c r="K45" s="8" t="n">
        <v>16</v>
      </c>
      <c r="L45" s="8" t="n">
        <v>32</v>
      </c>
      <c r="M45" s="8" t="n">
        <v>22</v>
      </c>
      <c r="N45" s="8" t="n">
        <v>31</v>
      </c>
      <c r="O45" s="8" t="n">
        <v>42</v>
      </c>
      <c r="P45" s="8" t="n">
        <v>36.5</v>
      </c>
    </row>
    <row r="46">
      <c r="A46" s="8" t="inlineStr">
        <is>
          <t>19706</t>
        </is>
      </c>
      <c r="B46" s="8" t="inlineStr">
        <is>
          <t>New Castle</t>
        </is>
      </c>
      <c r="C46" s="8" t="n">
        <v>23.5</v>
      </c>
      <c r="D46" s="8" t="n">
        <v>32</v>
      </c>
      <c r="E46" s="8" t="n">
        <v>28</v>
      </c>
      <c r="F46" s="8" t="n">
        <v>39</v>
      </c>
      <c r="G46" s="8" t="n">
        <v>7</v>
      </c>
      <c r="H46" s="8" t="n">
        <v>19</v>
      </c>
      <c r="I46" s="8" t="n">
        <v>31</v>
      </c>
      <c r="J46" s="8" t="n">
        <v>29.5</v>
      </c>
      <c r="K46" s="8" t="n">
        <v>28</v>
      </c>
      <c r="L46" s="8" t="n">
        <v>27</v>
      </c>
      <c r="M46" s="8" t="n">
        <v>22</v>
      </c>
      <c r="N46" s="8" t="n">
        <v>30</v>
      </c>
      <c r="O46" s="8" t="n">
        <v>35.5</v>
      </c>
      <c r="P46" s="8" t="n">
        <v>33</v>
      </c>
    </row>
    <row r="47">
      <c r="A47" s="8" t="inlineStr">
        <is>
          <t>19701</t>
        </is>
      </c>
      <c r="B47" s="8" t="inlineStr">
        <is>
          <t>New Castle</t>
        </is>
      </c>
      <c r="C47" s="8" t="n">
        <v>26.5</v>
      </c>
      <c r="D47" s="8" t="n">
        <v>52</v>
      </c>
      <c r="E47" s="8" t="n">
        <v>39.5</v>
      </c>
      <c r="F47" s="8" t="n">
        <v>14.5</v>
      </c>
      <c r="G47" s="8" t="n">
        <v>58</v>
      </c>
      <c r="H47" s="8" t="n">
        <v>20.5</v>
      </c>
      <c r="I47" s="8" t="n">
        <v>30</v>
      </c>
      <c r="J47" s="8" t="n">
        <v>21</v>
      </c>
      <c r="K47" s="8" t="n">
        <v>8</v>
      </c>
      <c r="L47" s="8" t="n">
        <v>15.5</v>
      </c>
      <c r="M47" s="8" t="n">
        <v>15.5</v>
      </c>
      <c r="N47" s="8" t="n">
        <v>23</v>
      </c>
      <c r="O47" s="8" t="n">
        <v>25.5</v>
      </c>
      <c r="P47" s="8" t="n">
        <v>24</v>
      </c>
    </row>
    <row r="48">
      <c r="A48" s="8" t="inlineStr">
        <is>
          <t>19702</t>
        </is>
      </c>
      <c r="B48" s="8" t="inlineStr">
        <is>
          <t>New Castle</t>
        </is>
      </c>
      <c r="C48" s="8" t="n">
        <v>30</v>
      </c>
      <c r="D48" s="8" t="n">
        <v>40</v>
      </c>
      <c r="E48" s="8" t="n">
        <v>43.5</v>
      </c>
      <c r="F48" s="8" t="n">
        <v>8.5</v>
      </c>
      <c r="G48" s="8" t="n">
        <v>62</v>
      </c>
      <c r="H48" s="8" t="n">
        <v>17</v>
      </c>
      <c r="I48" s="8" t="n">
        <v>28.5</v>
      </c>
      <c r="J48" s="8" t="n">
        <v>22</v>
      </c>
      <c r="K48" s="8" t="n">
        <v>3</v>
      </c>
      <c r="L48" s="8" t="n">
        <v>7.5</v>
      </c>
      <c r="M48" s="8" t="n">
        <v>8</v>
      </c>
      <c r="N48" s="8" t="n">
        <v>26</v>
      </c>
      <c r="O48" s="8" t="n">
        <v>29</v>
      </c>
      <c r="P48" s="8" t="n">
        <v>25</v>
      </c>
    </row>
    <row r="49">
      <c r="A49" s="8" t="inlineStr">
        <is>
          <t>19720</t>
        </is>
      </c>
      <c r="B49" s="8" t="inlineStr">
        <is>
          <t>New Castle</t>
        </is>
      </c>
      <c r="C49" s="8" t="n">
        <v>41</v>
      </c>
      <c r="D49" s="8" t="n">
        <v>21</v>
      </c>
      <c r="E49" s="8" t="n">
        <v>54</v>
      </c>
      <c r="F49" s="8" t="n">
        <v>17</v>
      </c>
      <c r="G49" s="8" t="n">
        <v>54</v>
      </c>
      <c r="H49" s="8" t="n">
        <v>42</v>
      </c>
      <c r="I49" s="8" t="n">
        <v>41</v>
      </c>
      <c r="J49" s="8" t="n">
        <v>43</v>
      </c>
      <c r="K49" s="8" t="n">
        <v>16</v>
      </c>
      <c r="L49" s="8" t="n">
        <v>21.5</v>
      </c>
      <c r="M49" s="8" t="n">
        <v>32.5</v>
      </c>
      <c r="N49" s="8" t="n">
        <v>41</v>
      </c>
      <c r="O49" s="8" t="n">
        <v>42</v>
      </c>
      <c r="P49" s="8" t="n">
        <v>39.5</v>
      </c>
    </row>
    <row r="50">
      <c r="A50" s="8" t="inlineStr">
        <is>
          <t>19716</t>
        </is>
      </c>
      <c r="B50" s="8" t="inlineStr">
        <is>
          <t>New Castle</t>
        </is>
      </c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</row>
    <row r="51">
      <c r="A51" s="8" t="inlineStr">
        <is>
          <t>19713</t>
        </is>
      </c>
      <c r="B51" s="8" t="inlineStr">
        <is>
          <t>New Castle</t>
        </is>
      </c>
      <c r="C51" s="8" t="n">
        <v>47</v>
      </c>
      <c r="D51" s="8" t="n">
        <v>22</v>
      </c>
      <c r="E51" s="8" t="n">
        <v>46</v>
      </c>
      <c r="F51" s="8" t="n">
        <v>22</v>
      </c>
      <c r="G51" s="8" t="n">
        <v>59</v>
      </c>
      <c r="H51" s="8" t="n">
        <v>25.5</v>
      </c>
      <c r="I51" s="8" t="n">
        <v>32</v>
      </c>
      <c r="J51" s="8" t="n">
        <v>36</v>
      </c>
      <c r="K51" s="8" t="n">
        <v>25.5</v>
      </c>
      <c r="L51" s="8" t="n">
        <v>23.5</v>
      </c>
      <c r="M51" s="8" t="n">
        <v>26</v>
      </c>
      <c r="N51" s="8" t="n">
        <v>33</v>
      </c>
      <c r="O51" s="8" t="n">
        <v>35.5</v>
      </c>
      <c r="P51" s="8" t="n">
        <v>32</v>
      </c>
    </row>
    <row r="52">
      <c r="A52" s="8" t="inlineStr">
        <is>
          <t>19717</t>
        </is>
      </c>
      <c r="B52" s="8" t="inlineStr">
        <is>
          <t>New Castle</t>
        </is>
      </c>
      <c r="C52" s="8" t="n"/>
      <c r="D52" s="8" t="n"/>
      <c r="E52" s="8" t="n">
        <v>10</v>
      </c>
      <c r="F52" s="8" t="n">
        <v>1.5</v>
      </c>
      <c r="G52" s="8" t="n">
        <v>31.5</v>
      </c>
      <c r="H52" s="8" t="n">
        <v>2</v>
      </c>
      <c r="I52" s="8" t="n">
        <v>7.5</v>
      </c>
      <c r="J52" s="8" t="n">
        <v>25</v>
      </c>
      <c r="K52" s="8" t="n">
        <v>2</v>
      </c>
      <c r="L52" s="8" t="n">
        <v>2</v>
      </c>
      <c r="M52" s="8" t="n">
        <v>2</v>
      </c>
      <c r="N52" s="8" t="n">
        <v>19</v>
      </c>
      <c r="O52" s="8" t="n">
        <v>65</v>
      </c>
      <c r="P52" s="8" t="n">
        <v>11.5</v>
      </c>
    </row>
    <row r="53">
      <c r="A53" s="8" t="inlineStr">
        <is>
          <t>19711</t>
        </is>
      </c>
      <c r="B53" s="8" t="inlineStr">
        <is>
          <t>New Castle</t>
        </is>
      </c>
      <c r="C53" s="8" t="n">
        <v>54</v>
      </c>
      <c r="D53" s="8" t="n">
        <v>43</v>
      </c>
      <c r="E53" s="8" t="n">
        <v>22</v>
      </c>
      <c r="F53" s="8" t="n">
        <v>26.5</v>
      </c>
      <c r="G53" s="8" t="n">
        <v>49</v>
      </c>
      <c r="H53" s="8" t="n">
        <v>5</v>
      </c>
      <c r="I53" s="8" t="n">
        <v>13.5</v>
      </c>
      <c r="J53" s="8" t="n">
        <v>16</v>
      </c>
      <c r="K53" s="8" t="n">
        <v>6</v>
      </c>
      <c r="L53" s="8" t="n">
        <v>12.5</v>
      </c>
      <c r="M53" s="8" t="n">
        <v>5.5</v>
      </c>
      <c r="N53" s="8" t="n">
        <v>16</v>
      </c>
      <c r="O53" s="8" t="n">
        <v>33</v>
      </c>
      <c r="P53" s="8" t="n">
        <v>14.5</v>
      </c>
    </row>
    <row r="54">
      <c r="A54" s="8" t="inlineStr">
        <is>
          <t>19804</t>
        </is>
      </c>
      <c r="B54" s="8" t="inlineStr">
        <is>
          <t>New Castle</t>
        </is>
      </c>
      <c r="C54" s="8" t="n">
        <v>34.5</v>
      </c>
      <c r="D54" s="8" t="n">
        <v>27</v>
      </c>
      <c r="E54" s="8" t="n">
        <v>34.5</v>
      </c>
      <c r="F54" s="8" t="n">
        <v>20</v>
      </c>
      <c r="G54" s="8" t="n">
        <v>45.5</v>
      </c>
      <c r="H54" s="8" t="n">
        <v>25.5</v>
      </c>
      <c r="I54" s="8" t="n">
        <v>36</v>
      </c>
      <c r="J54" s="8" t="n">
        <v>40.5</v>
      </c>
      <c r="K54" s="8" t="n">
        <v>25.5</v>
      </c>
      <c r="L54" s="8" t="n">
        <v>27</v>
      </c>
      <c r="M54" s="8" t="n">
        <v>26</v>
      </c>
      <c r="N54" s="8" t="n">
        <v>36</v>
      </c>
      <c r="O54" s="8" t="n">
        <v>40</v>
      </c>
      <c r="P54" s="8" t="n">
        <v>42</v>
      </c>
    </row>
    <row r="55">
      <c r="A55" s="8" t="inlineStr">
        <is>
          <t>19801</t>
        </is>
      </c>
      <c r="B55" s="8" t="inlineStr">
        <is>
          <t>New Castle</t>
        </is>
      </c>
      <c r="C55" s="8" t="n">
        <v>60</v>
      </c>
      <c r="D55" s="8" t="n">
        <v>3</v>
      </c>
      <c r="E55" s="8" t="n">
        <v>41</v>
      </c>
      <c r="F55" s="8" t="n">
        <v>5</v>
      </c>
      <c r="G55" s="8" t="n">
        <v>45.5</v>
      </c>
      <c r="H55" s="8" t="n">
        <v>63</v>
      </c>
      <c r="I55" s="8" t="n">
        <v>64</v>
      </c>
      <c r="J55" s="8" t="n">
        <v>65</v>
      </c>
      <c r="K55" s="8" t="n">
        <v>32.5</v>
      </c>
      <c r="L55" s="8" t="n">
        <v>50.5</v>
      </c>
      <c r="M55" s="8" t="n">
        <v>64</v>
      </c>
      <c r="N55" s="8" t="n">
        <v>65</v>
      </c>
      <c r="O55" s="8" t="n">
        <v>63</v>
      </c>
      <c r="P55" s="8" t="n">
        <v>64</v>
      </c>
    </row>
    <row r="56">
      <c r="A56" s="8" t="inlineStr">
        <is>
          <t>19808</t>
        </is>
      </c>
      <c r="B56" s="8" t="inlineStr">
        <is>
          <t>New Castle</t>
        </is>
      </c>
      <c r="C56" s="8" t="n">
        <v>16.5</v>
      </c>
      <c r="D56" s="8" t="n">
        <v>42</v>
      </c>
      <c r="E56" s="8" t="n">
        <v>51.5</v>
      </c>
      <c r="F56" s="8" t="n">
        <v>35.5</v>
      </c>
      <c r="G56" s="8" t="n">
        <v>57</v>
      </c>
      <c r="H56" s="8" t="n">
        <v>14</v>
      </c>
      <c r="I56" s="8" t="n">
        <v>16</v>
      </c>
      <c r="J56" s="8" t="n">
        <v>17</v>
      </c>
      <c r="K56" s="8" t="n">
        <v>16</v>
      </c>
      <c r="L56" s="8" t="n">
        <v>18.5</v>
      </c>
      <c r="M56" s="8" t="n">
        <v>15.5</v>
      </c>
      <c r="N56" s="8" t="n">
        <v>17</v>
      </c>
      <c r="O56" s="8" t="n">
        <v>21.5</v>
      </c>
      <c r="P56" s="8" t="n">
        <v>17</v>
      </c>
    </row>
    <row r="57">
      <c r="A57" s="8" t="inlineStr">
        <is>
          <t>19805</t>
        </is>
      </c>
      <c r="B57" s="8" t="inlineStr">
        <is>
          <t>New Castle</t>
        </is>
      </c>
      <c r="C57" s="8" t="n">
        <v>58</v>
      </c>
      <c r="D57" s="8" t="n">
        <v>5</v>
      </c>
      <c r="E57" s="8" t="n">
        <v>56</v>
      </c>
      <c r="F57" s="8" t="n">
        <v>11</v>
      </c>
      <c r="G57" s="8" t="n">
        <v>60</v>
      </c>
      <c r="H57" s="8" t="n">
        <v>45</v>
      </c>
      <c r="I57" s="8" t="n">
        <v>46.5</v>
      </c>
      <c r="J57" s="8" t="n">
        <v>57.5</v>
      </c>
      <c r="K57" s="8" t="n">
        <v>20.5</v>
      </c>
      <c r="L57" s="8" t="n">
        <v>27</v>
      </c>
      <c r="M57" s="8" t="n">
        <v>32.5</v>
      </c>
      <c r="N57" s="8" t="n">
        <v>55.5</v>
      </c>
      <c r="O57" s="8" t="n">
        <v>56</v>
      </c>
      <c r="P57" s="8" t="n">
        <v>49</v>
      </c>
    </row>
    <row r="58">
      <c r="A58" s="8" t="inlineStr">
        <is>
          <t>19802</t>
        </is>
      </c>
      <c r="B58" s="8" t="inlineStr">
        <is>
          <t>New Castle</t>
        </is>
      </c>
      <c r="C58" s="8" t="n">
        <v>59</v>
      </c>
      <c r="D58" s="8" t="n">
        <v>4</v>
      </c>
      <c r="E58" s="8" t="n">
        <v>42</v>
      </c>
      <c r="F58" s="8" t="n">
        <v>13</v>
      </c>
      <c r="G58" s="8" t="n">
        <v>18</v>
      </c>
      <c r="H58" s="8" t="n">
        <v>62</v>
      </c>
      <c r="I58" s="8" t="n">
        <v>56.5</v>
      </c>
      <c r="J58" s="8" t="n">
        <v>62</v>
      </c>
      <c r="K58" s="8" t="n">
        <v>30</v>
      </c>
      <c r="L58" s="8" t="n">
        <v>37</v>
      </c>
      <c r="M58" s="8" t="n">
        <v>62</v>
      </c>
      <c r="N58" s="8" t="n">
        <v>60</v>
      </c>
      <c r="O58" s="8" t="n">
        <v>57</v>
      </c>
      <c r="P58" s="8" t="n">
        <v>55</v>
      </c>
    </row>
    <row r="59">
      <c r="A59" s="8" t="inlineStr">
        <is>
          <t>19809</t>
        </is>
      </c>
      <c r="B59" s="8" t="inlineStr">
        <is>
          <t>New Castle</t>
        </is>
      </c>
      <c r="C59" s="8" t="n">
        <v>46</v>
      </c>
      <c r="D59" s="8" t="n">
        <v>29</v>
      </c>
      <c r="E59" s="8" t="n">
        <v>9</v>
      </c>
      <c r="F59" s="8" t="n">
        <v>23</v>
      </c>
      <c r="G59" s="8" t="n">
        <v>20.5</v>
      </c>
      <c r="H59" s="8" t="n">
        <v>18</v>
      </c>
      <c r="I59" s="8" t="n">
        <v>26</v>
      </c>
      <c r="J59" s="8" t="n">
        <v>18</v>
      </c>
      <c r="K59" s="8" t="n">
        <v>11</v>
      </c>
      <c r="L59" s="8" t="n">
        <v>18.5</v>
      </c>
      <c r="M59" s="8" t="n">
        <v>15.5</v>
      </c>
      <c r="N59" s="8" t="n">
        <v>18</v>
      </c>
      <c r="O59" s="8" t="n">
        <v>24</v>
      </c>
      <c r="P59" s="8" t="n">
        <v>19</v>
      </c>
    </row>
    <row r="60">
      <c r="A60" s="8" t="inlineStr">
        <is>
          <t>19806</t>
        </is>
      </c>
      <c r="B60" s="8" t="inlineStr">
        <is>
          <t>New Castle</t>
        </is>
      </c>
      <c r="C60" s="8" t="n">
        <v>39</v>
      </c>
      <c r="D60" s="8" t="n">
        <v>38</v>
      </c>
      <c r="E60" s="8" t="n">
        <v>18</v>
      </c>
      <c r="F60" s="8" t="n">
        <v>48</v>
      </c>
      <c r="G60" s="8" t="n">
        <v>29</v>
      </c>
      <c r="H60" s="8" t="n">
        <v>12</v>
      </c>
      <c r="I60" s="8" t="n">
        <v>15</v>
      </c>
      <c r="J60" s="8" t="n">
        <v>11.5</v>
      </c>
      <c r="K60" s="8" t="n">
        <v>20.5</v>
      </c>
      <c r="L60" s="8" t="n">
        <v>12.5</v>
      </c>
      <c r="M60" s="8" t="n">
        <v>18.5</v>
      </c>
      <c r="N60" s="8" t="n">
        <v>10</v>
      </c>
      <c r="O60" s="8" t="n">
        <v>17.5</v>
      </c>
      <c r="P60" s="8" t="n">
        <v>8.5</v>
      </c>
    </row>
    <row r="61">
      <c r="A61" s="8" t="inlineStr">
        <is>
          <t>19736</t>
        </is>
      </c>
      <c r="B61" s="8" t="inlineStr">
        <is>
          <t>New Castle</t>
        </is>
      </c>
      <c r="C61" s="8" t="n">
        <v>1.5</v>
      </c>
      <c r="D61" s="8" t="n"/>
      <c r="E61" s="8" t="n">
        <v>1.5</v>
      </c>
      <c r="F61" s="8" t="n">
        <v>54</v>
      </c>
      <c r="G61" s="8" t="n">
        <v>3</v>
      </c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</row>
    <row r="62">
      <c r="A62" s="8" t="inlineStr">
        <is>
          <t>19707</t>
        </is>
      </c>
      <c r="B62" s="8" t="inlineStr">
        <is>
          <t>New Castle</t>
        </is>
      </c>
      <c r="C62" s="8" t="n">
        <v>7</v>
      </c>
      <c r="D62" s="8" t="n">
        <v>61</v>
      </c>
      <c r="E62" s="8" t="n">
        <v>16.5</v>
      </c>
      <c r="F62" s="8" t="n">
        <v>44</v>
      </c>
      <c r="G62" s="8" t="n">
        <v>36</v>
      </c>
      <c r="H62" s="8" t="n">
        <v>7</v>
      </c>
      <c r="I62" s="8" t="n">
        <v>1</v>
      </c>
      <c r="J62" s="8" t="n">
        <v>3</v>
      </c>
      <c r="K62" s="8" t="n">
        <v>12.5</v>
      </c>
      <c r="L62" s="8" t="n">
        <v>4</v>
      </c>
      <c r="M62" s="8" t="n">
        <v>8</v>
      </c>
      <c r="N62" s="8" t="n">
        <v>3.5</v>
      </c>
      <c r="O62" s="8" t="n">
        <v>8.5</v>
      </c>
      <c r="P62" s="8" t="n">
        <v>5.5</v>
      </c>
    </row>
    <row r="63">
      <c r="A63" s="8" t="inlineStr">
        <is>
          <t>19710</t>
        </is>
      </c>
      <c r="B63" s="8" t="inlineStr">
        <is>
          <t>New Castle</t>
        </is>
      </c>
      <c r="C63" s="8" t="n"/>
      <c r="D63" s="8" t="n"/>
      <c r="E63" s="8" t="n"/>
      <c r="F63" s="8" t="n"/>
      <c r="G63" s="8" t="n"/>
      <c r="H63" s="8" t="n">
        <v>10</v>
      </c>
      <c r="I63" s="8" t="n">
        <v>6</v>
      </c>
      <c r="J63" s="8" t="n">
        <v>2</v>
      </c>
      <c r="K63" s="8" t="n">
        <v>12.5</v>
      </c>
      <c r="L63" s="8" t="n">
        <v>7.5</v>
      </c>
      <c r="M63" s="8" t="n">
        <v>11</v>
      </c>
      <c r="N63" s="8" t="n">
        <v>2</v>
      </c>
      <c r="O63" s="8" t="n">
        <v>6</v>
      </c>
      <c r="P63" s="8" t="n">
        <v>2.5</v>
      </c>
    </row>
    <row r="64">
      <c r="A64" s="8" t="inlineStr">
        <is>
          <t>19807</t>
        </is>
      </c>
      <c r="B64" s="8" t="inlineStr">
        <is>
          <t>New Castle</t>
        </is>
      </c>
      <c r="C64" s="8" t="n">
        <v>10</v>
      </c>
      <c r="D64" s="8" t="n">
        <v>60</v>
      </c>
      <c r="E64" s="8" t="n">
        <v>4</v>
      </c>
      <c r="F64" s="8" t="n">
        <v>53</v>
      </c>
      <c r="G64" s="8" t="n">
        <v>55</v>
      </c>
      <c r="H64" s="8" t="n">
        <v>14</v>
      </c>
      <c r="I64" s="8" t="n">
        <v>5</v>
      </c>
      <c r="J64" s="8" t="n">
        <v>5</v>
      </c>
      <c r="K64" s="8" t="n">
        <v>34.5</v>
      </c>
      <c r="L64" s="8" t="n">
        <v>10</v>
      </c>
      <c r="M64" s="8" t="n">
        <v>18.5</v>
      </c>
      <c r="N64" s="8" t="n">
        <v>5.5</v>
      </c>
      <c r="O64" s="8" t="n">
        <v>8.5</v>
      </c>
      <c r="P64" s="8" t="n">
        <v>5.5</v>
      </c>
    </row>
    <row r="65">
      <c r="A65" s="8" t="inlineStr">
        <is>
          <t>19803</t>
        </is>
      </c>
      <c r="B65" s="8" t="inlineStr">
        <is>
          <t>New Castle</t>
        </is>
      </c>
      <c r="C65" s="8" t="n">
        <v>6</v>
      </c>
      <c r="D65" s="8" t="n">
        <v>59</v>
      </c>
      <c r="E65" s="8" t="n">
        <v>19</v>
      </c>
      <c r="F65" s="8" t="n">
        <v>43</v>
      </c>
      <c r="G65" s="8" t="n">
        <v>26</v>
      </c>
      <c r="H65" s="8" t="n">
        <v>10</v>
      </c>
      <c r="I65" s="8" t="n">
        <v>7.5</v>
      </c>
      <c r="J65" s="8" t="n">
        <v>7</v>
      </c>
      <c r="K65" s="8" t="n">
        <v>23.5</v>
      </c>
      <c r="L65" s="8" t="n">
        <v>10</v>
      </c>
      <c r="M65" s="8" t="n">
        <v>13</v>
      </c>
      <c r="N65" s="8" t="n">
        <v>7</v>
      </c>
      <c r="O65" s="8" t="n">
        <v>12</v>
      </c>
      <c r="P65" s="8" t="n">
        <v>7</v>
      </c>
    </row>
    <row r="66">
      <c r="A66" s="8" t="inlineStr">
        <is>
          <t>19732</t>
        </is>
      </c>
      <c r="B66" s="8" t="inlineStr">
        <is>
          <t>New Castle</t>
        </is>
      </c>
      <c r="C66" s="8" t="n">
        <v>63</v>
      </c>
      <c r="D66" s="8" t="n">
        <v>62</v>
      </c>
      <c r="E66" s="8" t="n">
        <v>1.5</v>
      </c>
      <c r="F66" s="8" t="n">
        <v>63</v>
      </c>
      <c r="G66" s="8" t="n">
        <v>3</v>
      </c>
      <c r="H66" s="8" t="n">
        <v>3</v>
      </c>
      <c r="I66" s="8" t="n">
        <v>2</v>
      </c>
      <c r="J66" s="8" t="n">
        <v>1</v>
      </c>
      <c r="K66" s="8" t="n">
        <v>20.5</v>
      </c>
      <c r="L66" s="8" t="n">
        <v>3</v>
      </c>
      <c r="M66" s="8" t="n">
        <v>3.5</v>
      </c>
      <c r="N66" s="8" t="n">
        <v>1</v>
      </c>
      <c r="O66" s="8" t="n">
        <v>4</v>
      </c>
      <c r="P66" s="8" t="n">
        <v>1</v>
      </c>
    </row>
    <row r="67">
      <c r="A67" s="8" t="inlineStr">
        <is>
          <t>19703</t>
        </is>
      </c>
      <c r="B67" s="8" t="inlineStr">
        <is>
          <t>New Castle</t>
        </is>
      </c>
      <c r="C67" s="8" t="n">
        <v>40</v>
      </c>
      <c r="D67" s="8" t="n">
        <v>25</v>
      </c>
      <c r="E67" s="8" t="n">
        <v>31.5</v>
      </c>
      <c r="F67" s="8" t="n">
        <v>18.5</v>
      </c>
      <c r="G67" s="8" t="n">
        <v>50</v>
      </c>
      <c r="H67" s="8" t="n">
        <v>14</v>
      </c>
      <c r="I67" s="8" t="n">
        <v>27</v>
      </c>
      <c r="J67" s="8" t="n">
        <v>20</v>
      </c>
      <c r="K67" s="8" t="n">
        <v>5</v>
      </c>
      <c r="L67" s="8" t="n">
        <v>10</v>
      </c>
      <c r="M67" s="8" t="n">
        <v>11</v>
      </c>
      <c r="N67" s="8" t="n">
        <v>23</v>
      </c>
      <c r="O67" s="8" t="n">
        <v>28</v>
      </c>
      <c r="P67" s="8" t="n">
        <v>22.5</v>
      </c>
    </row>
    <row r="68">
      <c r="A68" s="8" t="inlineStr">
        <is>
          <t>19735</t>
        </is>
      </c>
      <c r="B68" s="8" t="inlineStr">
        <is>
          <t>New Castle</t>
        </is>
      </c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</row>
    <row r="69">
      <c r="A69" s="8" t="inlineStr">
        <is>
          <t>19810</t>
        </is>
      </c>
      <c r="B69" s="8" t="inlineStr">
        <is>
          <t>New Castle</t>
        </is>
      </c>
      <c r="C69" s="8" t="n">
        <v>13.5</v>
      </c>
      <c r="D69" s="8" t="n">
        <v>54</v>
      </c>
      <c r="E69" s="8" t="n">
        <v>8</v>
      </c>
      <c r="F69" s="8" t="n">
        <v>45</v>
      </c>
      <c r="G69" s="8" t="n">
        <v>34</v>
      </c>
      <c r="H69" s="8" t="n">
        <v>16</v>
      </c>
      <c r="I69" s="8" t="n">
        <v>9</v>
      </c>
      <c r="J69" s="8" t="n">
        <v>11.5</v>
      </c>
      <c r="K69" s="8" t="n">
        <v>23.5</v>
      </c>
      <c r="L69" s="8" t="n">
        <v>15.5</v>
      </c>
      <c r="M69" s="8" t="n">
        <v>15.5</v>
      </c>
      <c r="N69" s="8" t="n">
        <v>12</v>
      </c>
      <c r="O69" s="8" t="n">
        <v>15</v>
      </c>
      <c r="P69" s="8" t="n">
        <v>13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40" customWidth="1" min="1" max="1"/>
    <col width="24" customWidth="1" min="2" max="2"/>
    <col width="40" customWidth="1" min="3" max="3"/>
    <col width="37" customWidth="1" min="4" max="4"/>
    <col width="19" customWidth="1" min="5" max="5"/>
    <col width="40" customWidth="1" min="6" max="6"/>
  </cols>
  <sheetData>
    <row r="1">
      <c r="A1" s="1" t="inlineStr">
        <is>
          <t>County primary-care access - residents per primary-care physician (AHRF)</t>
        </is>
      </c>
    </row>
    <row r="2">
      <c r="A2" s="10" t="inlineStr">
        <is>
          <t>Residents per PCP = AHRF population / AHRF primary-care physician count. A higher ratio means fewer PCPs relative to population (a bigger gap).</t>
        </is>
      </c>
    </row>
    <row r="3">
      <c r="A3" s="5" t="inlineStr">
        <is>
          <t>County</t>
        </is>
      </c>
      <c r="B3" s="5" t="inlineStr">
        <is>
          <t>County FIPS</t>
        </is>
      </c>
      <c r="C3" s="5" t="inlineStr">
        <is>
          <t>AHRF population (2024)</t>
        </is>
      </c>
      <c r="D3" s="5" t="inlineStr">
        <is>
          <t>AHRF primary-care physicians (2023)</t>
        </is>
      </c>
      <c r="E3" s="5" t="inlineStr">
        <is>
          <t>Residents per PCP</t>
        </is>
      </c>
      <c r="F3" s="5" t="inlineStr">
        <is>
          <t>Rank (1 = highest ratio / biggest gap)</t>
        </is>
      </c>
    </row>
    <row r="4">
      <c r="A4" s="17" t="inlineStr">
        <is>
          <t>Kent</t>
        </is>
      </c>
      <c r="B4" s="17" t="inlineStr">
        <is>
          <t>10001</t>
        </is>
      </c>
      <c r="C4" s="17" t="n">
        <v>192690</v>
      </c>
      <c r="D4" s="17" t="n">
        <v>99</v>
      </c>
      <c r="E4" s="18">
        <f>C4/D4</f>
        <v/>
      </c>
      <c r="F4" s="19">
        <f>RANK(E4,$E$4:$E$6,0)</f>
        <v/>
      </c>
    </row>
    <row r="5">
      <c r="A5" s="8" t="inlineStr">
        <is>
          <t>New Castle</t>
        </is>
      </c>
      <c r="B5" s="8" t="inlineStr">
        <is>
          <t>10003</t>
        </is>
      </c>
      <c r="C5" s="8" t="n">
        <v>588093</v>
      </c>
      <c r="D5" s="8" t="n">
        <v>547</v>
      </c>
      <c r="E5" s="11">
        <f>C5/D5</f>
        <v/>
      </c>
      <c r="F5" s="15">
        <f>RANK(E5,$E$4:$E$6,0)</f>
        <v/>
      </c>
    </row>
    <row r="6">
      <c r="A6" s="8" t="inlineStr">
        <is>
          <t>Sussex</t>
        </is>
      </c>
      <c r="B6" s="8" t="inlineStr">
        <is>
          <t>10005</t>
        </is>
      </c>
      <c r="C6" s="8" t="n">
        <v>271134</v>
      </c>
      <c r="D6" s="8" t="n">
        <v>161</v>
      </c>
      <c r="E6" s="11">
        <f>C6/D6</f>
        <v/>
      </c>
      <c r="F6" s="15">
        <f>RANK(E6,$E$4:$E$6,0)</f>
        <v/>
      </c>
    </row>
    <row r="7"/>
    <row r="8">
      <c r="A8" s="2" t="inlineStr">
        <is>
          <t>Summary</t>
        </is>
      </c>
    </row>
    <row r="9">
      <c r="A9" s="8" t="inlineStr">
        <is>
          <t>Highest residents-per-PCP (biggest access gap)</t>
        </is>
      </c>
      <c r="B9" s="11">
        <f>MAX(E4:E6)</f>
        <v/>
      </c>
      <c r="C9" s="8">
        <f>INDEX(A4:A6,MATCH(MAX(E4:E6),E4:E6,0))</f>
        <v/>
      </c>
    </row>
    <row r="10">
      <c r="A10" s="8" t="inlineStr">
        <is>
          <t>Lowest residents-per-PCP (best access)</t>
        </is>
      </c>
      <c r="B10" s="11">
        <f>MIN(E4:E6)</f>
        <v/>
      </c>
      <c r="C10" s="8">
        <f>INDEX(A4:A6,MATCH(MIN(E4:E6),E4:E6,0))</f>
        <v/>
      </c>
    </row>
    <row r="11">
      <c r="A11" s="8" t="inlineStr">
        <is>
          <t>Gap (highest - lowest)</t>
        </is>
      </c>
      <c r="B11" s="11">
        <f>MAX(E4:E6)-MIN(E4:E6)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34" customWidth="1" min="3" max="3"/>
    <col width="17" customWidth="1" min="4" max="4"/>
    <col width="34" customWidth="1" min="5" max="5"/>
    <col width="24" customWidth="1" min="6" max="6"/>
    <col width="23" customWidth="1" min="7" max="7"/>
    <col width="14" customWidth="1" min="8" max="8"/>
    <col width="23" customWidth="1" min="9" max="9"/>
  </cols>
  <sheetData>
    <row r="1">
      <c r="A1" s="1" t="inlineStr">
        <is>
          <t>County health burden (CHR) - ranked highest to lowest</t>
        </is>
      </c>
    </row>
    <row r="2">
      <c r="A2" s="10" t="inlineStr">
        <is>
          <t>Rank 1 = highest burden. Gap = highest county value - lowest county value.</t>
        </is>
      </c>
    </row>
    <row r="3">
      <c r="A3" s="5" t="inlineStr">
        <is>
          <t>County</t>
        </is>
      </c>
      <c r="B3" s="5" t="inlineStr">
        <is>
          <t>Fair/poor health %</t>
        </is>
      </c>
      <c r="C3" s="5" t="inlineStr">
        <is>
          <t>Rank</t>
        </is>
      </c>
      <c r="D3" s="5" t="inlineStr">
        <is>
          <t>Adult obesity %</t>
        </is>
      </c>
      <c r="E3" s="5" t="inlineStr">
        <is>
          <t>Rank</t>
        </is>
      </c>
      <c r="F3" s="5" t="inlineStr">
        <is>
          <t>Adult smoking %</t>
        </is>
      </c>
      <c r="G3" s="5" t="inlineStr">
        <is>
          <t>Rank</t>
        </is>
      </c>
      <c r="H3" s="5" t="inlineStr">
        <is>
          <t>Uninsured %</t>
        </is>
      </c>
      <c r="I3" s="5" t="inlineStr">
        <is>
          <t>Rank</t>
        </is>
      </c>
    </row>
    <row r="4">
      <c r="A4" s="8" t="inlineStr">
        <is>
          <t>Kent</t>
        </is>
      </c>
      <c r="B4" s="11" t="n">
        <v>16.8</v>
      </c>
      <c r="C4" s="15">
        <f>RANK(B4,$B$4:$B$6,0)</f>
        <v/>
      </c>
      <c r="D4" s="11" t="n">
        <v>39.3</v>
      </c>
      <c r="E4" s="15">
        <f>RANK(D4,$D$4:$D$6,0)</f>
        <v/>
      </c>
      <c r="F4" s="11" t="n">
        <v>15.2</v>
      </c>
      <c r="G4" s="15">
        <f>RANK(F4,$F$4:$F$6,0)</f>
        <v/>
      </c>
      <c r="H4" s="11" t="n">
        <v>7.4989942336</v>
      </c>
      <c r="I4" s="15">
        <f>RANK(H4,$H$4:$H$6,0)</f>
        <v/>
      </c>
    </row>
    <row r="5">
      <c r="A5" s="8" t="inlineStr">
        <is>
          <t>New Castle</t>
        </is>
      </c>
      <c r="B5" s="11" t="n">
        <v>16.1</v>
      </c>
      <c r="C5" s="15">
        <f>RANK(B5,$B$4:$B$6,0)</f>
        <v/>
      </c>
      <c r="D5" s="11" t="n">
        <v>37.6</v>
      </c>
      <c r="E5" s="15">
        <f>RANK(D5,$D$4:$D$6,0)</f>
        <v/>
      </c>
      <c r="F5" s="11" t="n">
        <v>14.2</v>
      </c>
      <c r="G5" s="15">
        <f>RANK(F5,$F$4:$F$6,0)</f>
        <v/>
      </c>
      <c r="H5" s="11" t="n">
        <v>6.1650155558</v>
      </c>
      <c r="I5" s="15">
        <f>RANK(H5,$H$4:$H$6,0)</f>
        <v/>
      </c>
    </row>
    <row r="6">
      <c r="A6" s="8" t="inlineStr">
        <is>
          <t>Sussex</t>
        </is>
      </c>
      <c r="B6" s="11" t="n">
        <v>15.5</v>
      </c>
      <c r="C6" s="15">
        <f>RANK(B6,$B$4:$B$6,0)</f>
        <v/>
      </c>
      <c r="D6" s="11" t="n">
        <v>38.6</v>
      </c>
      <c r="E6" s="15">
        <f>RANK(D6,$D$4:$D$6,0)</f>
        <v/>
      </c>
      <c r="F6" s="11" t="n">
        <v>15.5</v>
      </c>
      <c r="G6" s="15">
        <f>RANK(F6,$F$4:$F$6,0)</f>
        <v/>
      </c>
      <c r="H6" s="11" t="n">
        <v>8.363764805100001</v>
      </c>
      <c r="I6" s="15">
        <f>RANK(H6,$H$4:$H$6,0)</f>
        <v/>
      </c>
    </row>
    <row r="7"/>
    <row r="8">
      <c r="A8" s="2" t="inlineStr">
        <is>
          <t>Summary (per measure)</t>
        </is>
      </c>
    </row>
    <row r="9">
      <c r="A9" s="20" t="inlineStr">
        <is>
          <t>Measure</t>
        </is>
      </c>
      <c r="B9" s="20" t="inlineStr">
        <is>
          <t>Highest value</t>
        </is>
      </c>
      <c r="C9" s="20" t="inlineStr">
        <is>
          <t>Highest-burden county</t>
        </is>
      </c>
      <c r="D9" s="20" t="inlineStr">
        <is>
          <t>Lowest value</t>
        </is>
      </c>
      <c r="E9" s="20" t="inlineStr">
        <is>
          <t>Lowest-burden county</t>
        </is>
      </c>
      <c r="F9" s="20" t="inlineStr">
        <is>
          <t>Gap (highest - lowest)</t>
        </is>
      </c>
    </row>
    <row r="10">
      <c r="A10" s="8" t="inlineStr">
        <is>
          <t>Fair/poor health %</t>
        </is>
      </c>
      <c r="B10" s="11">
        <f>MAX(B4:B6)</f>
        <v/>
      </c>
      <c r="C10" s="8">
        <f>INDEX(A4:A6,MATCH(MAX(B4:B6),B4:B6,0))</f>
        <v/>
      </c>
      <c r="D10" s="11">
        <f>MIN(B4:B6)</f>
        <v/>
      </c>
      <c r="E10" s="8">
        <f>INDEX(A4:A6,MATCH(MIN(B4:B6),B4:B6,0))</f>
        <v/>
      </c>
      <c r="F10" s="11">
        <f>MAX(B4:B6)-MIN(B4:B6)</f>
        <v/>
      </c>
    </row>
    <row r="11">
      <c r="A11" s="8" t="inlineStr">
        <is>
          <t>Adult obesity %</t>
        </is>
      </c>
      <c r="B11" s="11">
        <f>MAX(D4:D6)</f>
        <v/>
      </c>
      <c r="C11" s="8">
        <f>INDEX(A4:A6,MATCH(MAX(D4:D6),D4:D6,0))</f>
        <v/>
      </c>
      <c r="D11" s="11">
        <f>MIN(D4:D6)</f>
        <v/>
      </c>
      <c r="E11" s="8">
        <f>INDEX(A4:A6,MATCH(MIN(D4:D6),D4:D6,0))</f>
        <v/>
      </c>
      <c r="F11" s="11">
        <f>MAX(D4:D6)-MIN(D4:D6)</f>
        <v/>
      </c>
    </row>
    <row r="12">
      <c r="A12" s="8" t="inlineStr">
        <is>
          <t>Adult smoking %</t>
        </is>
      </c>
      <c r="B12" s="11">
        <f>MAX(F4:F6)</f>
        <v/>
      </c>
      <c r="C12" s="8">
        <f>INDEX(A4:A6,MATCH(MAX(F4:F6),F4:F6,0))</f>
        <v/>
      </c>
      <c r="D12" s="11">
        <f>MIN(F4:F6)</f>
        <v/>
      </c>
      <c r="E12" s="8">
        <f>INDEX(A4:A6,MATCH(MIN(F4:F6),F4:F6,0))</f>
        <v/>
      </c>
      <c r="F12" s="11">
        <f>MAX(F4:F6)-MIN(F4:F6)</f>
        <v/>
      </c>
    </row>
    <row r="13">
      <c r="A13" s="8" t="inlineStr">
        <is>
          <t>Uninsured %</t>
        </is>
      </c>
      <c r="B13" s="11">
        <f>MAX(H4:H6)</f>
        <v/>
      </c>
      <c r="C13" s="8">
        <f>INDEX(A4:A6,MATCH(MAX(H4:H6),H4:H6,0))</f>
        <v/>
      </c>
      <c r="D13" s="11">
        <f>MIN(H4:H6)</f>
        <v/>
      </c>
      <c r="E13" s="8">
        <f>INDEX(A4:A6,MATCH(MIN(H4:H6),H4:H6,0))</f>
        <v/>
      </c>
      <c r="F13" s="11">
        <f>MAX(H4:H6)-MIN(H4:H6)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2026-10-20T22:40:19Z</dcterms:created>
  <dcterms:modified xsi:type="dcterms:W3CDTF">2026-10-20T22:40:19Z</dcterms:modified>
</cp:coreProperties>
</file>