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 Draft" sheetId="1" r:id="rId5"/>
  </sheets>
  <definedNames/>
  <calcPr/>
</workbook>
</file>

<file path=xl/sharedStrings.xml><?xml version="1.0" encoding="utf-8"?>
<sst xmlns="http://schemas.openxmlformats.org/spreadsheetml/2006/main" count="9021" uniqueCount="3789">
  <si>
    <t>Source</t>
  </si>
  <si>
    <t>Variables</t>
  </si>
  <si>
    <t xml:space="preserve">Geography </t>
  </si>
  <si>
    <t>SDOH Domain</t>
  </si>
  <si>
    <t>Concept</t>
  </si>
  <si>
    <t>Variable</t>
  </si>
  <si>
    <t>CodeFormat</t>
  </si>
  <si>
    <t>Code (if available)</t>
  </si>
  <si>
    <t>Attach Where?</t>
  </si>
  <si>
    <t>R Code</t>
  </si>
  <si>
    <t>American Community Survey 5 year estimate (2018-2023)</t>
  </si>
  <si>
    <t>Means of Transportation to Work (White Alone)</t>
  </si>
  <si>
    <t>Tract</t>
  </si>
  <si>
    <t>Transportation Barriers</t>
  </si>
  <si>
    <t>Means of Transportation to Work</t>
  </si>
  <si>
    <t>TranstoWork</t>
  </si>
  <si>
    <t>Estimate!!Total:</t>
  </si>
  <si>
    <t>'B08105A_001',</t>
  </si>
  <si>
    <t>B08105A_001</t>
  </si>
  <si>
    <t>Tableau Cloud</t>
  </si>
  <si>
    <t/>
  </si>
  <si>
    <t>Estimate!!Total:!!Car, truck, or van - drove alone</t>
  </si>
  <si>
    <t>'B08105A_002',</t>
  </si>
  <si>
    <t>B08105A_002</t>
  </si>
  <si>
    <t>!!Car, truck, or van - drove alone</t>
  </si>
  <si>
    <t>TranstoWorkCartruckorvandrovealone</t>
  </si>
  <si>
    <t>Estimate!!Total:!!Car, truck, or van - carpooled</t>
  </si>
  <si>
    <t>'B08105A_003',</t>
  </si>
  <si>
    <t>B08105A_003</t>
  </si>
  <si>
    <t>!!Car, truck, or van - carpooled</t>
  </si>
  <si>
    <t>TranstoWorkCartruckorvancarpooled</t>
  </si>
  <si>
    <t>Estimate!!Total:!!Public transportation (excluding taxicab)</t>
  </si>
  <si>
    <t>'B08105A_004',</t>
  </si>
  <si>
    <t>B08105A_004</t>
  </si>
  <si>
    <t>!!Public transportation (excluding taxicab)</t>
  </si>
  <si>
    <t>TranstoWorkPublictransportationexcludingtaxicab</t>
  </si>
  <si>
    <t>Estimate!!Total:!!Walked</t>
  </si>
  <si>
    <t>'B08105A_005',</t>
  </si>
  <si>
    <t>B08105A_005</t>
  </si>
  <si>
    <t>!!Walked</t>
  </si>
  <si>
    <t>TranstoWorkWalked</t>
  </si>
  <si>
    <t>Estimate!!Total:!!Taxicab, motorcycle, bicycle, or other means</t>
  </si>
  <si>
    <t>'B08105A_006',</t>
  </si>
  <si>
    <t>B08105A_006</t>
  </si>
  <si>
    <t>!!Taxicab, motorcycle, bicycle, or other means</t>
  </si>
  <si>
    <t>TranstoWorkTaxicabmotorcyclebicycleorothermeans</t>
  </si>
  <si>
    <t>Estimate!!Total:!!Worked from home</t>
  </si>
  <si>
    <t>'B08105A_007',</t>
  </si>
  <si>
    <t>B08105A_007</t>
  </si>
  <si>
    <t>!!Worked from home</t>
  </si>
  <si>
    <t>TranstoWorkWorkedfromhome</t>
  </si>
  <si>
    <t>Take Public Transportation to Work</t>
  </si>
  <si>
    <t>Means of Transportation to Work by Age</t>
  </si>
  <si>
    <t>'B08101_001',</t>
  </si>
  <si>
    <t>B08101_001</t>
  </si>
  <si>
    <t>Estimate!!Total:!!16 to 19 years</t>
  </si>
  <si>
    <t>'B08101_002',</t>
  </si>
  <si>
    <t>B08101_002</t>
  </si>
  <si>
    <t>!!16 to 19 years</t>
  </si>
  <si>
    <t>TranstoWork16to19years</t>
  </si>
  <si>
    <t>Estimate!!Total:!!20 to 24 years</t>
  </si>
  <si>
    <t>'B08101_003',</t>
  </si>
  <si>
    <t>B08101_003</t>
  </si>
  <si>
    <t>!!20 to 24 years</t>
  </si>
  <si>
    <t>TranstoWork20to24years</t>
  </si>
  <si>
    <t>Estimate!!Total:!!25 to 44 years</t>
  </si>
  <si>
    <t>'B08101_004',</t>
  </si>
  <si>
    <t>B08101_004</t>
  </si>
  <si>
    <t>!!25 to 44 years</t>
  </si>
  <si>
    <t>TranstoWork25to44years</t>
  </si>
  <si>
    <t>Estimate!!Total:!!45 to 54 years</t>
  </si>
  <si>
    <t>'B08101_005',</t>
  </si>
  <si>
    <t>B08101_005</t>
  </si>
  <si>
    <t>!!45 to 54 years</t>
  </si>
  <si>
    <t>TranstoWork45to54years</t>
  </si>
  <si>
    <t>Estimate!!Total:!!55 to 59 years</t>
  </si>
  <si>
    <t>'B08101_006',</t>
  </si>
  <si>
    <t>B08101_006</t>
  </si>
  <si>
    <t>!!55 to 59 years</t>
  </si>
  <si>
    <t>TranstoWork55to59years</t>
  </si>
  <si>
    <t>Estimate!!Total:!!60 to 64 years</t>
  </si>
  <si>
    <t>'B08101_007',</t>
  </si>
  <si>
    <t>B08101_007</t>
  </si>
  <si>
    <t>!!60 to 64 years</t>
  </si>
  <si>
    <t>TranstoWork60to64years</t>
  </si>
  <si>
    <t>Estimate!!Total:!!65 years and over</t>
  </si>
  <si>
    <t>'B08101_008',</t>
  </si>
  <si>
    <t>B08101_008</t>
  </si>
  <si>
    <t>!!65 years and over</t>
  </si>
  <si>
    <t>TranstoWork65yearsandover</t>
  </si>
  <si>
    <t>Estimate!!Total:!!Car, truck, or van - drove alone:</t>
  </si>
  <si>
    <t>'B08101_009',</t>
  </si>
  <si>
    <t>B08101_009</t>
  </si>
  <si>
    <t>!!Car, truck, or van - drove alone:</t>
  </si>
  <si>
    <t>Estimate!!Total:!!Car, truck, or van - drove alone:!!16 to 19 years</t>
  </si>
  <si>
    <t>'B08101_010',</t>
  </si>
  <si>
    <t>B08101_010</t>
  </si>
  <si>
    <t>!!Car, truck, or van - drove alone:!!16 to 19 years</t>
  </si>
  <si>
    <t>TranstoWorkCartruckorvandrovealone16to19years</t>
  </si>
  <si>
    <t>Estimate!!Total:!!Car, truck, or van - drove alone:!!20 to 24 years</t>
  </si>
  <si>
    <t>'B08101_011',</t>
  </si>
  <si>
    <t>B08101_011</t>
  </si>
  <si>
    <t>!!Car, truck, or van - drove alone:!!20 to 24 years</t>
  </si>
  <si>
    <t>TranstoWorkCartruckorvandrovealone20to24years</t>
  </si>
  <si>
    <t>Estimate!!Total:!!Car, truck, or van - drove alone:!!25 to 44 years</t>
  </si>
  <si>
    <t>'B08101_012',</t>
  </si>
  <si>
    <t>B08101_012</t>
  </si>
  <si>
    <t>!!Car, truck, or van - drove alone:!!25 to 44 years</t>
  </si>
  <si>
    <t>TranstoWorkCartruckorvandrovealone25to44years</t>
  </si>
  <si>
    <t>Estimate!!Total:!!Car, truck, or van - drove alone:!!45 to 54 years</t>
  </si>
  <si>
    <t>'B08101_013',</t>
  </si>
  <si>
    <t>B08101_013</t>
  </si>
  <si>
    <t>!!Car, truck, or van - drove alone:!!45 to 54 years</t>
  </si>
  <si>
    <t>TranstoWorkCartruckorvandrovealone45to54years</t>
  </si>
  <si>
    <t>Estimate!!Total:!!Car, truck, or van - drove alone:!!55 to 59 years</t>
  </si>
  <si>
    <t>'B08101_014',</t>
  </si>
  <si>
    <t>B08101_014</t>
  </si>
  <si>
    <t>!!Car, truck, or van - drove alone:!!55 to 59 years</t>
  </si>
  <si>
    <t>TranstoWorkCartruckorvandrovealone55to59years</t>
  </si>
  <si>
    <t>Estimate!!Total:!!Car, truck, or van - drove alone:!!60 to 64 years</t>
  </si>
  <si>
    <t>'B08101_015',</t>
  </si>
  <si>
    <t>B08101_015</t>
  </si>
  <si>
    <t>!!Car, truck, or van - drove alone:!!60 to 64 years</t>
  </si>
  <si>
    <t>TranstoWorkCartruckorvandrovealone60to64years</t>
  </si>
  <si>
    <t>Estimate!!Total:!!Car, truck, or van - drove alone:!!65 years and over</t>
  </si>
  <si>
    <t>'B08101_016',</t>
  </si>
  <si>
    <t>B08101_016</t>
  </si>
  <si>
    <t>!!Car, truck, or van - drove alone:!!65 years and over</t>
  </si>
  <si>
    <t>TranstoWorkCartruckorvandrovealone65yearsandover</t>
  </si>
  <si>
    <t>Estimate!!Total:!!Car, truck, or van - carpooled:</t>
  </si>
  <si>
    <t>'B08101_017',</t>
  </si>
  <si>
    <t>B08101_017</t>
  </si>
  <si>
    <t>!!Car, truck, or van - carpooled:</t>
  </si>
  <si>
    <t>Estimate!!Total:!!Car, truck, or van - carpooled:!!16 to 19 years</t>
  </si>
  <si>
    <t>'B08101_018',</t>
  </si>
  <si>
    <t>B08101_018</t>
  </si>
  <si>
    <t>!!Car, truck, or van - carpooled:!!16 to 19 years</t>
  </si>
  <si>
    <t>TranstoWorkCartruckorvancarpooled16to19years</t>
  </si>
  <si>
    <t>Estimate!!Total:!!Car, truck, or van - carpooled:!!20 to 24 years</t>
  </si>
  <si>
    <t>'B08101_019',</t>
  </si>
  <si>
    <t>B08101_019</t>
  </si>
  <si>
    <t>!!Car, truck, or van - carpooled:!!20 to 24 years</t>
  </si>
  <si>
    <t>TranstoWorkCartruckorvancarpooled20to24years</t>
  </si>
  <si>
    <t>Estimate!!Total:!!Car, truck, or van - carpooled:!!25 to 44 years</t>
  </si>
  <si>
    <t>'B08101_020',</t>
  </si>
  <si>
    <t>B08101_020</t>
  </si>
  <si>
    <t>!!Car, truck, or van - carpooled:!!25 to 44 years</t>
  </si>
  <si>
    <t>TranstoWorkCartruckorvancarpooled25to44years</t>
  </si>
  <si>
    <t>Estimate!!Total:!!Car, truck, or van - carpooled:!!45 to 54 years</t>
  </si>
  <si>
    <t>'B08101_021',</t>
  </si>
  <si>
    <t>B08101_021</t>
  </si>
  <si>
    <t>!!Car, truck, or van - carpooled:!!45 to 54 years</t>
  </si>
  <si>
    <t>TranstoWorkCartruckorvancarpooled45to54years</t>
  </si>
  <si>
    <t>Estimate!!Total:!!Car, truck, or van - carpooled:!!55 to 59 years</t>
  </si>
  <si>
    <t>'B08101_022',</t>
  </si>
  <si>
    <t>B08101_022</t>
  </si>
  <si>
    <t>!!Car, truck, or van - carpooled:!!55 to 59 years</t>
  </si>
  <si>
    <t>TranstoWorkCartruckorvancarpooled55to59years</t>
  </si>
  <si>
    <t>Estimate!!Total:!!Car, truck, or van - carpooled:!!60 to 64 years</t>
  </si>
  <si>
    <t>'B08101_023',</t>
  </si>
  <si>
    <t>B08101_023</t>
  </si>
  <si>
    <t>!!Car, truck, or van - carpooled:!!60 to 64 years</t>
  </si>
  <si>
    <t>TranstoWorkCartruckorvancarpooled60to64years</t>
  </si>
  <si>
    <t>Estimate!!Total:!!Car, truck, or van - carpooled:!!65 years and over</t>
  </si>
  <si>
    <t>'B08101_024',</t>
  </si>
  <si>
    <t>B08101_024</t>
  </si>
  <si>
    <t>!!Car, truck, or van - carpooled:!!65 years and over</t>
  </si>
  <si>
    <t>TranstoWorkCartruckorvancarpooled65yearsandover</t>
  </si>
  <si>
    <t>Estimate!!Total:!!Public transportation (excluding taxicab):</t>
  </si>
  <si>
    <t>'B08101_025',</t>
  </si>
  <si>
    <t>B08101_025</t>
  </si>
  <si>
    <t>!!Public transportation (excluding taxicab):</t>
  </si>
  <si>
    <t>Estimate!!Total:!!Public transportation (excluding taxicab):!!16 to 19 years</t>
  </si>
  <si>
    <t>'B08101_026',</t>
  </si>
  <si>
    <t>B08101_026</t>
  </si>
  <si>
    <t>!!Public transportation (excluding taxicab):!!16 to 19 years</t>
  </si>
  <si>
    <t>TranstoWorkPublictransportationexcludingtaxicab16to19years</t>
  </si>
  <si>
    <t>Estimate!!Total:!!Public transportation (excluding taxicab):!!20 to 24 years</t>
  </si>
  <si>
    <t>'B08101_027',</t>
  </si>
  <si>
    <t>B08101_027</t>
  </si>
  <si>
    <t>!!Public transportation (excluding taxicab):!!20 to 24 years</t>
  </si>
  <si>
    <t>TranstoWorkPublictransportationexcludingtaxicab20to24years</t>
  </si>
  <si>
    <t>Estimate!!Total:!!Public transportation (excluding taxicab):!!25 to 44 years</t>
  </si>
  <si>
    <t>'B08101_028',</t>
  </si>
  <si>
    <t>B08101_028</t>
  </si>
  <si>
    <t>!!Public transportation (excluding taxicab):!!25 to 44 years</t>
  </si>
  <si>
    <t>TranstoWorkPublictransportationexcludingtaxicab25to44years</t>
  </si>
  <si>
    <t>Estimate!!Total:!!Public transportation (excluding taxicab):!!45 to 54 years</t>
  </si>
  <si>
    <t>'B08101_029',</t>
  </si>
  <si>
    <t>B08101_029</t>
  </si>
  <si>
    <t>!!Public transportation (excluding taxicab):!!45 to 54 years</t>
  </si>
  <si>
    <t>TranstoWorkPublictransportationexcludingtaxicab45to54years</t>
  </si>
  <si>
    <t>Estimate!!Total:!!Public transportation (excluding taxicab):!!55 to 59 years</t>
  </si>
  <si>
    <t>'B08101_030',</t>
  </si>
  <si>
    <t>B08101_030</t>
  </si>
  <si>
    <t>!!Public transportation (excluding taxicab):!!55 to 59 years</t>
  </si>
  <si>
    <t>TranstoWorkPublictransportationexcludingtaxicab55to59years</t>
  </si>
  <si>
    <t>Estimate!!Total:!!Public transportation (excluding taxicab):!!60 to 64 years</t>
  </si>
  <si>
    <t>'B08101_031',</t>
  </si>
  <si>
    <t>B08101_031</t>
  </si>
  <si>
    <t>!!Public transportation (excluding taxicab):!!60 to 64 years</t>
  </si>
  <si>
    <t>TranstoWorkPublictransportationexcludingtaxicab60to64years</t>
  </si>
  <si>
    <t>Estimate!!Total:!!Public transportation (excluding taxicab):!!65 years and over</t>
  </si>
  <si>
    <t>'B08101_032',</t>
  </si>
  <si>
    <t>B08101_032</t>
  </si>
  <si>
    <t>!!Public transportation (excluding taxicab):!!65 years and over</t>
  </si>
  <si>
    <t>TranstoWorkPublictransportationexcludingtaxicab65yearsandover</t>
  </si>
  <si>
    <t>Estimate!!Total:!!Walked:</t>
  </si>
  <si>
    <t>'B08101_033',</t>
  </si>
  <si>
    <t>B08101_033</t>
  </si>
  <si>
    <t>!!Walked:</t>
  </si>
  <si>
    <t>Estimate!!Total:!!Walked:!!16 to 19 years</t>
  </si>
  <si>
    <t>'B08101_034',</t>
  </si>
  <si>
    <t>B08101_034</t>
  </si>
  <si>
    <t>!!Walked:!!16 to 19 years</t>
  </si>
  <si>
    <t>TranstoWorkWalked16to19years</t>
  </si>
  <si>
    <t>Estimate!!Total:!!Walked:!!20 to 24 years</t>
  </si>
  <si>
    <t>'B08101_035',</t>
  </si>
  <si>
    <t>B08101_035</t>
  </si>
  <si>
    <t>!!Walked:!!20 to 24 years</t>
  </si>
  <si>
    <t>TranstoWorkWalked20to24years</t>
  </si>
  <si>
    <t>Estimate!!Total:!!Walked:!!25 to 44 years</t>
  </si>
  <si>
    <t>'B08101_036',</t>
  </si>
  <si>
    <t>B08101_036</t>
  </si>
  <si>
    <t>!!Walked:!!25 to 44 years</t>
  </si>
  <si>
    <t>TranstoWorkWalked25to44years</t>
  </si>
  <si>
    <t>Estimate!!Total:!!Walked:!!45 to 54 years</t>
  </si>
  <si>
    <t>'B08101_037',</t>
  </si>
  <si>
    <t>B08101_037</t>
  </si>
  <si>
    <t>!!Walked:!!45 to 54 years</t>
  </si>
  <si>
    <t>TranstoWorkWalked45to54years</t>
  </si>
  <si>
    <t>Estimate!!Total:!!Walked:!!55 to 59 years</t>
  </si>
  <si>
    <t>'B08101_038',</t>
  </si>
  <si>
    <t>B08101_038</t>
  </si>
  <si>
    <t>!!Walked:!!55 to 59 years</t>
  </si>
  <si>
    <t>TranstoWorkWalked55to59years</t>
  </si>
  <si>
    <t>Estimate!!Total:!!Walked:!!60 to 64 years</t>
  </si>
  <si>
    <t>'B08101_039',</t>
  </si>
  <si>
    <t>B08101_039</t>
  </si>
  <si>
    <t>!!Walked:!!60 to 64 years</t>
  </si>
  <si>
    <t>TranstoWorkWalked60to64years</t>
  </si>
  <si>
    <t>Estimate!!Total:!!Walked:!!65 years and over</t>
  </si>
  <si>
    <t>'B08101_040',</t>
  </si>
  <si>
    <t>B08101_040</t>
  </si>
  <si>
    <t>!!Walked:!!65 years and over</t>
  </si>
  <si>
    <t>TranstoWorkWalked65yearsandover</t>
  </si>
  <si>
    <t>Estimate!!Total:!!Taxicab, motorcycle, bicycle, or other means:</t>
  </si>
  <si>
    <t>'B08101_041',</t>
  </si>
  <si>
    <t>B08101_041</t>
  </si>
  <si>
    <t>!!Taxicab, motorcycle, bicycle, or other means:</t>
  </si>
  <si>
    <t>Estimate!!Total:!!Taxicab, motorcycle, bicycle, or other means:!!16 to 19 years</t>
  </si>
  <si>
    <t>'B08101_042',</t>
  </si>
  <si>
    <t>B08101_042</t>
  </si>
  <si>
    <t>!!Taxicab, motorcycle, bicycle, or other means:!!16 to 19 years</t>
  </si>
  <si>
    <t>TranstoWorkTaxicabmotorcyclebicycleorothermeans16to19years</t>
  </si>
  <si>
    <t>Estimate!!Total:!!Taxicab, motorcycle, bicycle, or other means:!!20 to 24 years</t>
  </si>
  <si>
    <t>'B08101_043',</t>
  </si>
  <si>
    <t>B08101_043</t>
  </si>
  <si>
    <t>!!Taxicab, motorcycle, bicycle, or other means:!!20 to 24 years</t>
  </si>
  <si>
    <t>TranstoWorkTaxicabmotorcyclebicycleorothermeans20to24years</t>
  </si>
  <si>
    <t>Estimate!!Total:!!Taxicab, motorcycle, bicycle, or other means:!!25 to 44 years</t>
  </si>
  <si>
    <t>'B08101_044',</t>
  </si>
  <si>
    <t>B08101_044</t>
  </si>
  <si>
    <t>!!Taxicab, motorcycle, bicycle, or other means:!!25 to 44 years</t>
  </si>
  <si>
    <t>TranstoWorkTaxicabmotorcyclebicycleorothermeans25to44years</t>
  </si>
  <si>
    <t>Estimate!!Total:!!Taxicab, motorcycle, bicycle, or other means:!!45 to 54 years</t>
  </si>
  <si>
    <t>'B08101_045',</t>
  </si>
  <si>
    <t>B08101_045</t>
  </si>
  <si>
    <t>!!Taxicab, motorcycle, bicycle, or other means:!!45 to 54 years</t>
  </si>
  <si>
    <t>TranstoWorkTaxicabmotorcyclebicycleorothermeans45to54years</t>
  </si>
  <si>
    <t>Estimate!!Total:!!Taxicab, motorcycle, bicycle, or other means:!!55 to 59 years</t>
  </si>
  <si>
    <t>'B08101_046',</t>
  </si>
  <si>
    <t>B08101_046</t>
  </si>
  <si>
    <t>!!Taxicab, motorcycle, bicycle, or other means:!!55 to 59 years</t>
  </si>
  <si>
    <t>TranstoWorkTaxicabmotorcyclebicycleorothermeans55to59years</t>
  </si>
  <si>
    <t>Estimate!!Total:!!Taxicab, motorcycle, bicycle, or other means:!!60 to 64 years</t>
  </si>
  <si>
    <t>'B08101_047',</t>
  </si>
  <si>
    <t>B08101_047</t>
  </si>
  <si>
    <t>!!Taxicab, motorcycle, bicycle, or other means:!!60 to 64 years</t>
  </si>
  <si>
    <t>TranstoWorkTaxicabmotorcyclebicycleorothermeans60to64years</t>
  </si>
  <si>
    <t>Estimate!!Total:!!Taxicab, motorcycle, bicycle, or other means:!!65 years and over</t>
  </si>
  <si>
    <t>'B08101_048',</t>
  </si>
  <si>
    <t>B08101_048</t>
  </si>
  <si>
    <t>!!Taxicab, motorcycle, bicycle, or other means:!!65 years and over</t>
  </si>
  <si>
    <t>TranstoWorkTaxicabmotorcyclebicycleorothermeans65yearsandover</t>
  </si>
  <si>
    <t>'B08101_049',</t>
  </si>
  <si>
    <t>B08101_049</t>
  </si>
  <si>
    <t>Estimate!!Total:!!Worked from home!!16 to 19 years</t>
  </si>
  <si>
    <t>'B08101_050',</t>
  </si>
  <si>
    <t>B08101_050</t>
  </si>
  <si>
    <t>!!Worked from home!!16 to 19 years</t>
  </si>
  <si>
    <t>TranstoWorkWorkedfromhome16to19years</t>
  </si>
  <si>
    <t>Estimate!!Total:!!Worked from home!!20 to 24 years</t>
  </si>
  <si>
    <t>'B08101_051',</t>
  </si>
  <si>
    <t>B08101_051</t>
  </si>
  <si>
    <t>!!Worked from home!!20 to 24 years</t>
  </si>
  <si>
    <t>TranstoWorkWorkedfromhome20to24years</t>
  </si>
  <si>
    <t>Estimate!!Total:!!Worked from home!!25 to 44 years</t>
  </si>
  <si>
    <t>'B08101_052',</t>
  </si>
  <si>
    <t>B08101_052</t>
  </si>
  <si>
    <t>!!Worked from home!!25 to 44 years</t>
  </si>
  <si>
    <t>TranstoWorkWorkedfromhome25to44years</t>
  </si>
  <si>
    <t>Estimate!!Total:!!Worked from home!!45 to 54 years</t>
  </si>
  <si>
    <t>'B08101_053',</t>
  </si>
  <si>
    <t>B08101_053</t>
  </si>
  <si>
    <t>!!Worked from home!!45 to 54 years</t>
  </si>
  <si>
    <t>TranstoWorkWorkedfromhome45to54years</t>
  </si>
  <si>
    <t>Estimate!!Total:!!Worked from home!!55 to 59 years</t>
  </si>
  <si>
    <t>'B08101_054',</t>
  </si>
  <si>
    <t>B08101_054</t>
  </si>
  <si>
    <t>!!Worked from home!!55 to 59 years</t>
  </si>
  <si>
    <t>TranstoWorkWorkedfromhome55to59years</t>
  </si>
  <si>
    <t>Estimate!!Total:!!Worked from home!!60 to 64 years</t>
  </si>
  <si>
    <t>'B08101_055',</t>
  </si>
  <si>
    <t>B08101_055</t>
  </si>
  <si>
    <t>!!Worked from home!!60 to 64 years</t>
  </si>
  <si>
    <t>TranstoWorkWorkedfromhome60to64years</t>
  </si>
  <si>
    <t>Estimate!!Total:!!Worked from home!!65 years and over</t>
  </si>
  <si>
    <t>'B08101_056',</t>
  </si>
  <si>
    <t>B08101_056</t>
  </si>
  <si>
    <t>!!Worked from home!!65 years and over</t>
  </si>
  <si>
    <t>TranstoWorkWorkedfromhome65yearsandover</t>
  </si>
  <si>
    <t>OverHourDriveToWork</t>
  </si>
  <si>
    <t>Sex of Workers by Travel Time to Work</t>
  </si>
  <si>
    <t>TravTimeToWork</t>
  </si>
  <si>
    <t>'B08012_001',</t>
  </si>
  <si>
    <t>B08012_001</t>
  </si>
  <si>
    <t>Estimate!!Total:!!Less than 5 minutes</t>
  </si>
  <si>
    <t>'B08012_002',</t>
  </si>
  <si>
    <t>B08012_002</t>
  </si>
  <si>
    <t>!!Less than 5 minutes</t>
  </si>
  <si>
    <t>TravTimeToWorkLessthan5minutes</t>
  </si>
  <si>
    <t>Estimate!!Total:!!5 to 9 minutes</t>
  </si>
  <si>
    <t>'B08012_003',</t>
  </si>
  <si>
    <t>B08012_003</t>
  </si>
  <si>
    <t>!!5 to 9 minutes</t>
  </si>
  <si>
    <t>TravTimeToWork5to9minutes</t>
  </si>
  <si>
    <t>Estimate!!Total:!!10 to 14 minutes</t>
  </si>
  <si>
    <t>'B08012_004',</t>
  </si>
  <si>
    <t>B08012_004</t>
  </si>
  <si>
    <t>!!10 to 14 minutes</t>
  </si>
  <si>
    <t>TravTimeToWork10to14minutes</t>
  </si>
  <si>
    <t>Estimate!!Total:!!15 to 19 minutes</t>
  </si>
  <si>
    <t>'B08012_005',</t>
  </si>
  <si>
    <t>B08012_005</t>
  </si>
  <si>
    <t>!!15 to 19 minutes</t>
  </si>
  <si>
    <t>TravTimeToWork15to19minutes</t>
  </si>
  <si>
    <t>Estimate!!Total:!!20 to 24 minutes</t>
  </si>
  <si>
    <t>'B08012_006',</t>
  </si>
  <si>
    <t>B08012_006</t>
  </si>
  <si>
    <t>!!20 to 24 minutes</t>
  </si>
  <si>
    <t>TravTimeToWork20to24minutes</t>
  </si>
  <si>
    <t>Estimate!!Total:!!25 to 29 minutes</t>
  </si>
  <si>
    <t>'B08012_007',</t>
  </si>
  <si>
    <t>B08012_007</t>
  </si>
  <si>
    <t>!!25 to 29 minutes</t>
  </si>
  <si>
    <t>TravTimeToWork25to29minutes</t>
  </si>
  <si>
    <t>Estimate!!Total:!!30 to 34 minutes</t>
  </si>
  <si>
    <t>'B08012_008',</t>
  </si>
  <si>
    <t>B08012_008</t>
  </si>
  <si>
    <t>!!30 to 34 minutes</t>
  </si>
  <si>
    <t>TravTimeToWork30to34minutes</t>
  </si>
  <si>
    <t>Estimate!!Total:!!35 to 39 minutes</t>
  </si>
  <si>
    <t>'B08012_009',</t>
  </si>
  <si>
    <t>B08012_009</t>
  </si>
  <si>
    <t>!!35 to 39 minutes</t>
  </si>
  <si>
    <t>TravTimeToWork35to39minutes</t>
  </si>
  <si>
    <t>Estimate!!Total:!!40 to 44 minutes</t>
  </si>
  <si>
    <t>'B08012_010',</t>
  </si>
  <si>
    <t>B08012_010</t>
  </si>
  <si>
    <t>!!40 to 44 minutes</t>
  </si>
  <si>
    <t>TravTimeToWork40to44minutes</t>
  </si>
  <si>
    <t>Estimate!!Total:!!45 to 59 minutes</t>
  </si>
  <si>
    <t>'B08012_011',</t>
  </si>
  <si>
    <t>B08012_011</t>
  </si>
  <si>
    <t>!!45 to 59 minutes</t>
  </si>
  <si>
    <t>TravTimeToWork45to59minutes</t>
  </si>
  <si>
    <t>Estimate!!Total:!!60 to 89 minutes</t>
  </si>
  <si>
    <t>'B08012_012',</t>
  </si>
  <si>
    <t>B08012_012</t>
  </si>
  <si>
    <t>!!60 to 89 minutes</t>
  </si>
  <si>
    <t>TravTimeToWork60to89minutes</t>
  </si>
  <si>
    <t>Estimate!!Total:!!90 or more minutes</t>
  </si>
  <si>
    <t>'B08012_013',</t>
  </si>
  <si>
    <t>B08012_013</t>
  </si>
  <si>
    <t>!!90 or more minutes</t>
  </si>
  <si>
    <t>TravTimeToWork90ormoreminutes</t>
  </si>
  <si>
    <t>Estimate!!Total:!!Male:</t>
  </si>
  <si>
    <t>'B08012_014',</t>
  </si>
  <si>
    <t>B08012_014</t>
  </si>
  <si>
    <t>!!Male:</t>
  </si>
  <si>
    <t>TravTimeToWorkMale</t>
  </si>
  <si>
    <t>Estimate!!Total:!!Male:!!Less than 5 minutes</t>
  </si>
  <si>
    <t>'B08012_015',</t>
  </si>
  <si>
    <t>B08012_015</t>
  </si>
  <si>
    <t>!!Male:!!Less than 5 minutes</t>
  </si>
  <si>
    <t>TravTimeToWorkMaleLessthan5minutes</t>
  </si>
  <si>
    <t>Estimate!!Total:!!Male:!!5 to 9 minutes</t>
  </si>
  <si>
    <t>'B08012_016',</t>
  </si>
  <si>
    <t>B08012_016</t>
  </si>
  <si>
    <t>!!Male:!!5 to 9 minutes</t>
  </si>
  <si>
    <t>TravTimeToWorkMale5to9minutes</t>
  </si>
  <si>
    <t>Estimate!!Total:!!Male:!!10 to 14 minutes</t>
  </si>
  <si>
    <t>'B08012_017',</t>
  </si>
  <si>
    <t>B08012_017</t>
  </si>
  <si>
    <t>!!Male:!!10 to 14 minutes</t>
  </si>
  <si>
    <t>TravTimeToWorkMale10to14minutes</t>
  </si>
  <si>
    <t>Estimate!!Total:!!Male:!!15 to 19 minutes</t>
  </si>
  <si>
    <t>'B08012_018',</t>
  </si>
  <si>
    <t>B08012_018</t>
  </si>
  <si>
    <t>!!Male:!!15 to 19 minutes</t>
  </si>
  <si>
    <t>TravTimeToWorkMale15to19minutes</t>
  </si>
  <si>
    <t>Estimate!!Total:!!Male:!!20 to 24 minutes</t>
  </si>
  <si>
    <t>'B08012_019',</t>
  </si>
  <si>
    <t>B08012_019</t>
  </si>
  <si>
    <t>!!Male:!!20 to 24 minutes</t>
  </si>
  <si>
    <t>TravTimeToWorkMale20to24minutes</t>
  </si>
  <si>
    <t>Estimate!!Total:!!Male:!!25 to 29 minutes</t>
  </si>
  <si>
    <t>'B08012_020',</t>
  </si>
  <si>
    <t>B08012_020</t>
  </si>
  <si>
    <t>!!Male:!!25 to 29 minutes</t>
  </si>
  <si>
    <t>TravTimeToWorkMale25to29minutes</t>
  </si>
  <si>
    <t>Estimate!!Total:!!Male:!!30 to 34 minutes</t>
  </si>
  <si>
    <t>'B08012_021',</t>
  </si>
  <si>
    <t>B08012_021</t>
  </si>
  <si>
    <t>!!Male:!!30 to 34 minutes</t>
  </si>
  <si>
    <t>TravTimeToWorkMale30to34minutes</t>
  </si>
  <si>
    <t>Estimate!!Total:!!Male:!!35 to 39 minutes</t>
  </si>
  <si>
    <t>'B08012_022',</t>
  </si>
  <si>
    <t>B08012_022</t>
  </si>
  <si>
    <t>!!Male:!!35 to 39 minutes</t>
  </si>
  <si>
    <t>TravTimeToWorkMale35to39minutes</t>
  </si>
  <si>
    <t>Estimate!!Total:!!Male:!!40 to 44 minutes</t>
  </si>
  <si>
    <t>'B08012_023',</t>
  </si>
  <si>
    <t>B08012_023</t>
  </si>
  <si>
    <t>!!Male:!!40 to 44 minutes</t>
  </si>
  <si>
    <t>TravTimeToWorkMale40to44minutes</t>
  </si>
  <si>
    <t>Estimate!!Total:!!Male:!!45 to 59 minutes</t>
  </si>
  <si>
    <t>'B08012_024',</t>
  </si>
  <si>
    <t>B08012_024</t>
  </si>
  <si>
    <t>!!Male:!!45 to 59 minutes</t>
  </si>
  <si>
    <t>TravTimeToWorkMale45to59minutes</t>
  </si>
  <si>
    <t>Estimate!!Total:!!Male:!!60 to 89 minutes</t>
  </si>
  <si>
    <t>'B08012_025',</t>
  </si>
  <si>
    <t>B08012_025</t>
  </si>
  <si>
    <t>!!Male:!!60 to 89 minutes</t>
  </si>
  <si>
    <t>TravTimeToWorkMale60to89minutes</t>
  </si>
  <si>
    <t>Estimate!!Total:!!Male:!!90 or more minutes</t>
  </si>
  <si>
    <t>'B08012_026',</t>
  </si>
  <si>
    <t>B08012_026</t>
  </si>
  <si>
    <t>!!Male:!!90 or more minutes</t>
  </si>
  <si>
    <t>TravTimeToWorkMale90ormoreminutes</t>
  </si>
  <si>
    <t>Estimate!!Total:!!Female:</t>
  </si>
  <si>
    <t>'B08012_027',</t>
  </si>
  <si>
    <t>B08012_027</t>
  </si>
  <si>
    <t>!!Female:</t>
  </si>
  <si>
    <t>TravTimeToWorkFemale</t>
  </si>
  <si>
    <t>Estimate!!Total:!!Female:!!Less than 5 minutes</t>
  </si>
  <si>
    <t>'B08012_028',</t>
  </si>
  <si>
    <t>B08012_028</t>
  </si>
  <si>
    <t>!!Female:!!Less than 5 minutes</t>
  </si>
  <si>
    <t>TravTimeToWorkFemaleLessthan5minutes</t>
  </si>
  <si>
    <t>Estimate!!Total:!!Female:!!5 to 9 minutes</t>
  </si>
  <si>
    <t>'B08012_029',</t>
  </si>
  <si>
    <t>B08012_029</t>
  </si>
  <si>
    <t>!!Female:!!5 to 9 minutes</t>
  </si>
  <si>
    <t>TravTimeToWorkFemale5to9minutes</t>
  </si>
  <si>
    <t>Estimate!!Total:!!Female:!!10 to 14 minutes</t>
  </si>
  <si>
    <t>'B08012_030',</t>
  </si>
  <si>
    <t>B08012_030</t>
  </si>
  <si>
    <t>!!Female:!!10 to 14 minutes</t>
  </si>
  <si>
    <t>TravTimeToWorkFemale10to14minutes</t>
  </si>
  <si>
    <t>Estimate!!Total:!!Female:!!15 to 19 minutes</t>
  </si>
  <si>
    <t>'B08012_031',</t>
  </si>
  <si>
    <t>B08012_031</t>
  </si>
  <si>
    <t>!!Female:!!15 to 19 minutes</t>
  </si>
  <si>
    <t>TravTimeToWorkFemale15to19minutes</t>
  </si>
  <si>
    <t>Estimate!!Total:!!Female:!!20 to 24 minutes</t>
  </si>
  <si>
    <t>'B08012_032',</t>
  </si>
  <si>
    <t>B08012_032</t>
  </si>
  <si>
    <t>!!Female:!!20 to 24 minutes</t>
  </si>
  <si>
    <t>TravTimeToWorkFemale20to24minutes</t>
  </si>
  <si>
    <t>Estimate!!Total:!!Female:!!25 to 29 minutes</t>
  </si>
  <si>
    <t>'B08012_033',</t>
  </si>
  <si>
    <t>B08012_033</t>
  </si>
  <si>
    <t>!!Female:!!25 to 29 minutes</t>
  </si>
  <si>
    <t>TravTimeToWorkFemale25to29minutes</t>
  </si>
  <si>
    <t>Estimate!!Total:!!Female:!!30 to 34 minutes</t>
  </si>
  <si>
    <t>'B08012_034',</t>
  </si>
  <si>
    <t>B08012_034</t>
  </si>
  <si>
    <t>!!Female:!!30 to 34 minutes</t>
  </si>
  <si>
    <t>TravTimeToWorkFemale30to34minutes</t>
  </si>
  <si>
    <t>Estimate!!Total:!!Female:!!35 to 39 minutes</t>
  </si>
  <si>
    <t>'B08012_035',</t>
  </si>
  <si>
    <t>B08012_035</t>
  </si>
  <si>
    <t>!!Female:!!35 to 39 minutes</t>
  </si>
  <si>
    <t>TravTimeToWorkFemale35to39minutes</t>
  </si>
  <si>
    <t>Estimate!!Total:!!Female:!!40 to 44 minutes</t>
  </si>
  <si>
    <t>'B08012_036',</t>
  </si>
  <si>
    <t>B08012_036</t>
  </si>
  <si>
    <t>!!Female:!!40 to 44 minutes</t>
  </si>
  <si>
    <t>TravTimeToWorkFemale40to44minutes</t>
  </si>
  <si>
    <t>Estimate!!Total:!!Female:!!45 to 59 minutes</t>
  </si>
  <si>
    <t>'B08012_037',</t>
  </si>
  <si>
    <t>B08012_037</t>
  </si>
  <si>
    <t>!!Female:!!45 to 59 minutes</t>
  </si>
  <si>
    <t>TravTimeToWorkFemale45to59minutes</t>
  </si>
  <si>
    <t>Estimate!!Total:!!Female:!!60 to 89 minutes</t>
  </si>
  <si>
    <t>'B08012_038',</t>
  </si>
  <si>
    <t>B08012_038</t>
  </si>
  <si>
    <t>!!Female:!!60 to 89 minutes</t>
  </si>
  <si>
    <t>TravTimeToWorkFemale60to89minutes</t>
  </si>
  <si>
    <t>Estimate!!Total:!!Female:!!90 or more minutes</t>
  </si>
  <si>
    <t>'B08012_039',</t>
  </si>
  <si>
    <t>B08012_039</t>
  </si>
  <si>
    <t>!!Female:!!90 or more minutes</t>
  </si>
  <si>
    <t>TravTimeToWorkFemale90ormoreminutes</t>
  </si>
  <si>
    <t>Types of Computers in Household</t>
  </si>
  <si>
    <t>Block Group</t>
  </si>
  <si>
    <t>broadband penetration</t>
  </si>
  <si>
    <t>'B28001_001',</t>
  </si>
  <si>
    <t>B28001_001</t>
  </si>
  <si>
    <t>Estimate!!Total:!!Has one or more types of computing devices:</t>
  </si>
  <si>
    <t>'B28001_002',</t>
  </si>
  <si>
    <t>B28001_002</t>
  </si>
  <si>
    <t>!!Has one or more types of computing devices:</t>
  </si>
  <si>
    <t>Estimate!!Total:!!Has one or more types of computing devices:!!Desktop or laptop</t>
  </si>
  <si>
    <t>'B28001_003',</t>
  </si>
  <si>
    <t>B28001_003</t>
  </si>
  <si>
    <t>!!Has one or more types of computing devices:!!Desktop or laptop</t>
  </si>
  <si>
    <t>Estimate!!Total:!!Has one or more types of computing devices:!!Desktop or laptop!!Desktop or laptop with no other type of computing device</t>
  </si>
  <si>
    <t>'B28001_004',</t>
  </si>
  <si>
    <t>B28001_004</t>
  </si>
  <si>
    <t>!!Has one or more types of computing devices:!!Desktop or laptop!!Desktop or laptop with no other type of computing device</t>
  </si>
  <si>
    <t>Estimate!!Total:!!Has one or more types of computing devices:!!Smartphone</t>
  </si>
  <si>
    <t>'B28001_005',</t>
  </si>
  <si>
    <t>B28001_005</t>
  </si>
  <si>
    <t>!!Has one or more types of computing devices:!!Smartphone</t>
  </si>
  <si>
    <t>Estimate!!Total:!!Has one or more types of computing devices:!!Smartphone!!Smartphone with no other type of computing device</t>
  </si>
  <si>
    <t>'B28001_006',</t>
  </si>
  <si>
    <t>B28001_006</t>
  </si>
  <si>
    <t>!!Has one or more types of computing devices:!!Smartphone!!Smartphone with no other type of computing device</t>
  </si>
  <si>
    <t>Estimate!!Total:!!Has one or more types of computing devices:!!Tablet or other portable wireless computer</t>
  </si>
  <si>
    <t>'B28001_007',</t>
  </si>
  <si>
    <t>B28001_007</t>
  </si>
  <si>
    <t>!!Has one or more types of computing devices:!!Tablet or other portable wireless computer</t>
  </si>
  <si>
    <t>Estimate!!Total:!!Has one or more types of computing devices:!!Tablet or other portable wireless computer!!Tablet or other portable wireless computer with no other type of computing device</t>
  </si>
  <si>
    <t>'B28001_008',</t>
  </si>
  <si>
    <t>B28001_008</t>
  </si>
  <si>
    <t>!!Has one or more types of computing devices:!!Tablet or other portable wireless computer!!Tablet or other portable wireless computer with no other type of computing device</t>
  </si>
  <si>
    <t>Estimate!!Total:!!Has one or more types of computing devices:!!Other computer</t>
  </si>
  <si>
    <t>'B28001_009',</t>
  </si>
  <si>
    <t>B28001_009</t>
  </si>
  <si>
    <t>!!Has one or more types of computing devices:!!Other computer</t>
  </si>
  <si>
    <t>Estimate!!Total:!!Has one or more types of computing devices:!!Other computer!!Other computer with no other type of computing device</t>
  </si>
  <si>
    <t>'B28001_010',</t>
  </si>
  <si>
    <t>B28001_010</t>
  </si>
  <si>
    <t>!!Has one or more types of computing devices:!!Other computer!!Other computer with no other type of computing device</t>
  </si>
  <si>
    <t>Estimate!!Total:!!No Computer</t>
  </si>
  <si>
    <t>'B28001_011',</t>
  </si>
  <si>
    <t>B28001_011</t>
  </si>
  <si>
    <t>!!No Computer</t>
  </si>
  <si>
    <t>Presence and Types of Internet Subscriptions in Household</t>
  </si>
  <si>
    <t>'B28002_001',</t>
  </si>
  <si>
    <t>B28002_001</t>
  </si>
  <si>
    <t>Estimate!!Total:!!With an Internet subscription</t>
  </si>
  <si>
    <t>'B28002_002',</t>
  </si>
  <si>
    <t>B28002_002</t>
  </si>
  <si>
    <t>!!With an Internet subscription</t>
  </si>
  <si>
    <t>Estimate!!Total:!!With an Internet subscription!!Dial-up with no other type of Internet subscription</t>
  </si>
  <si>
    <t>'B28002_003',</t>
  </si>
  <si>
    <t>B28002_003</t>
  </si>
  <si>
    <t>!!With an Internet subscription!!Dial-up with no other type of Internet subscription</t>
  </si>
  <si>
    <t>Estimate!!Total:!!With an Internet subscription!!Broadband of any type</t>
  </si>
  <si>
    <t>'B28002_004',</t>
  </si>
  <si>
    <t>B28002_004</t>
  </si>
  <si>
    <t>!!With an Internet subscription!!Broadband of any type</t>
  </si>
  <si>
    <t>Estimate!!Total:!!With an Internet subscription!!Cellular data plan</t>
  </si>
  <si>
    <t>'B28002_005',</t>
  </si>
  <si>
    <t>B28002_005</t>
  </si>
  <si>
    <t>!!With an Internet subscription!!Cellular data plan</t>
  </si>
  <si>
    <t>Estimate!!Total:!!With an Internet subscription!!Cellular data plan!!Cellular data plan with no other type of Internet subscription</t>
  </si>
  <si>
    <t>'B28002_006',</t>
  </si>
  <si>
    <t>B28002_006</t>
  </si>
  <si>
    <t>!!With an Internet subscription!!Cellular data plan!!Cellular data plan with no other type of Internet subscription</t>
  </si>
  <si>
    <t>Estimate!!Total:!!With an Internet subscription!!Broadband such as cable, fiber optic or DSL</t>
  </si>
  <si>
    <t>'B28002_007',</t>
  </si>
  <si>
    <t>B28002_007</t>
  </si>
  <si>
    <t>!!With an Internet subscription!!Broadband such as cable, fiber optic or DSL</t>
  </si>
  <si>
    <t>Estimate!!Total:!!With an Internet subscription!!Broadband such as cable, fiber optic or DSL!!Broadband such as cable, fiber optic or DSL with no other type of Internet subscription</t>
  </si>
  <si>
    <t>'B28002_008',</t>
  </si>
  <si>
    <t>B28002_008</t>
  </si>
  <si>
    <t>!!With an Internet subscription!!Broadband such as cable, fiber optic or DSL!!Broadband such as cable, fiber optic or DSL with no other type of Internet subscription</t>
  </si>
  <si>
    <t>Estimate!!Total:!!With an Internet subscription!!Satellite Internet service</t>
  </si>
  <si>
    <t>'B28002_009',</t>
  </si>
  <si>
    <t>B28002_009</t>
  </si>
  <si>
    <t>!!With an Internet subscription!!Satellite Internet service</t>
  </si>
  <si>
    <t>Estimate!!Total:!!With an Internet subscription!!Satellite Internet service!!Satellite Internet service with no other type of Internet subscription</t>
  </si>
  <si>
    <t>'B28002_010',</t>
  </si>
  <si>
    <t>B28002_010</t>
  </si>
  <si>
    <t>!!With an Internet subscription!!Satellite Internet service!!Satellite Internet service with no other type of Internet subscription</t>
  </si>
  <si>
    <t>Estimate!!Total:!!With an Internet subscription!!Other service with no other type of Internet subscription</t>
  </si>
  <si>
    <t>'B28002_011',</t>
  </si>
  <si>
    <t>B28002_011</t>
  </si>
  <si>
    <t>!!With an Internet subscription!!Other service with no other type of Internet subscription</t>
  </si>
  <si>
    <t>Estimate!!Total:!!Internet access without a subscription</t>
  </si>
  <si>
    <t>'B28002_012',</t>
  </si>
  <si>
    <t>B28002_012</t>
  </si>
  <si>
    <t>!!Internet access without a subscription</t>
  </si>
  <si>
    <t>Estimate!!Total:!!No Internet access</t>
  </si>
  <si>
    <t>'B28002_013',</t>
  </si>
  <si>
    <t>B28002_013</t>
  </si>
  <si>
    <t>!!No Internet access</t>
  </si>
  <si>
    <t>block group</t>
  </si>
  <si>
    <t>Presence of a Computer and Type of Internet Subscription in Household</t>
  </si>
  <si>
    <t>'B28003_001',</t>
  </si>
  <si>
    <t>B28003_001</t>
  </si>
  <si>
    <t>Estimate!!Total:!!Has a computer:</t>
  </si>
  <si>
    <t>'B28003_002',</t>
  </si>
  <si>
    <t>B28003_002</t>
  </si>
  <si>
    <t>!!Has a computer:</t>
  </si>
  <si>
    <t>Estimate!!Total:!!Has a computer:!!With dial-up Internet subscription alone</t>
  </si>
  <si>
    <t>'B28003_003',</t>
  </si>
  <si>
    <t>B28003_003</t>
  </si>
  <si>
    <t>!!Has a computer:!!With dial-up Internet subscription alone</t>
  </si>
  <si>
    <t>Estimate!!Total:!!Has a computer:!!With a broadband Internet subscription</t>
  </si>
  <si>
    <t>'B28003_004',</t>
  </si>
  <si>
    <t>B28003_004</t>
  </si>
  <si>
    <t>!!Has a computer:!!With a broadband Internet subscription</t>
  </si>
  <si>
    <t>Estimate!!Total:!!Has a computer:!!Without an Internet subscription</t>
  </si>
  <si>
    <t>'B28003_005',</t>
  </si>
  <si>
    <t>B28003_005</t>
  </si>
  <si>
    <t>!!Has a computer:!!Without an Internet subscription</t>
  </si>
  <si>
    <t>Estimate!!Total:!!No computer</t>
  </si>
  <si>
    <t>'B28003_006',</t>
  </si>
  <si>
    <t>B28003_006</t>
  </si>
  <si>
    <t>!!No computer</t>
  </si>
  <si>
    <t>Household Income in the Last 12 Months (in 2023 Inflation-Adjusted Dollars) by Presence and Type of Internet Subscription in Household</t>
  </si>
  <si>
    <t>'B28004_001',</t>
  </si>
  <si>
    <t>B28004_001</t>
  </si>
  <si>
    <t>Estimate!!Total:!!Less than $10,000:</t>
  </si>
  <si>
    <t>'B28004_002',</t>
  </si>
  <si>
    <t>B28004_002</t>
  </si>
  <si>
    <t>!!Less than $10,000:</t>
  </si>
  <si>
    <t>Estimate!!Total:!!Less than $10,000:!!With dial-up Internet subscription alone</t>
  </si>
  <si>
    <t>'B28004_003',</t>
  </si>
  <si>
    <t>B28004_003</t>
  </si>
  <si>
    <t>!!Less than $10,000:!!With dial-up Internet subscription alone</t>
  </si>
  <si>
    <t>Estimate!!Total:!!Less than $10,000:!!With a broadband Internet subscription</t>
  </si>
  <si>
    <t>'B28004_004',</t>
  </si>
  <si>
    <t>B28004_004</t>
  </si>
  <si>
    <t>!!Less than $10,000:!!With a broadband Internet subscription</t>
  </si>
  <si>
    <t>Estimate!!Total:!!Less than $10,000:!!Without an Internet subscription</t>
  </si>
  <si>
    <t>'B28004_005',</t>
  </si>
  <si>
    <t>B28004_005</t>
  </si>
  <si>
    <t>!!Less than $10,000:!!Without an Internet subscription</t>
  </si>
  <si>
    <t>Estimate!!Total:!!$10,000 to $19,999:</t>
  </si>
  <si>
    <t>'B28004_006',</t>
  </si>
  <si>
    <t>B28004_006</t>
  </si>
  <si>
    <t>!!$10,000 to $19,999:</t>
  </si>
  <si>
    <t>Estimate!!Total:!!$10,000 to $19,999:!!With dial-up Internet subscription alone</t>
  </si>
  <si>
    <t>'B28004_007',</t>
  </si>
  <si>
    <t>B28004_007</t>
  </si>
  <si>
    <t>!!$10,000 to $19,999:!!With dial-up Internet subscription alone</t>
  </si>
  <si>
    <t>Estimate!!Total:!!$10,000 to $19,999:!!With a broadband Internet subscription</t>
  </si>
  <si>
    <t>'B28004_008',</t>
  </si>
  <si>
    <t>B28004_008</t>
  </si>
  <si>
    <t>!!$10,000 to $19,999:!!With a broadband Internet subscription</t>
  </si>
  <si>
    <t>Estimate!!Total:!!$10,000 to $19,999:!!Without an Internet subscription</t>
  </si>
  <si>
    <t>'B28004_009',</t>
  </si>
  <si>
    <t>B28004_009</t>
  </si>
  <si>
    <t>!!$10,000 to $19,999:!!Without an Internet subscription</t>
  </si>
  <si>
    <t>Estimate!!Total:!!$20,000 to $34,999:</t>
  </si>
  <si>
    <t>'B28004_010',</t>
  </si>
  <si>
    <t>B28004_010</t>
  </si>
  <si>
    <t>!!$20,000 to $34,999:</t>
  </si>
  <si>
    <t>Estimate!!Total:!!$20,000 to $34,999:!!With dial-up Internet subscription alone</t>
  </si>
  <si>
    <t>'B28004_011',</t>
  </si>
  <si>
    <t>B28004_011</t>
  </si>
  <si>
    <t>!!$20,000 to $34,999:!!With dial-up Internet subscription alone</t>
  </si>
  <si>
    <t>Estimate!!Total:!!$20,000 to $34,999:!!With a broadband Internet subscription</t>
  </si>
  <si>
    <t>'B28004_012',</t>
  </si>
  <si>
    <t>B28004_012</t>
  </si>
  <si>
    <t>!!$20,000 to $34,999:!!With a broadband Internet subscription</t>
  </si>
  <si>
    <t>Estimate!!Total:!!$20,000 to $34,999:!!Without an Internet subscription</t>
  </si>
  <si>
    <t>'B28004_013',</t>
  </si>
  <si>
    <t>B28004_013</t>
  </si>
  <si>
    <t>!!$20,000 to $34,999:!!Without an Internet subscription</t>
  </si>
  <si>
    <t>Estimate!!Total:!!$35,000 to $49,999:</t>
  </si>
  <si>
    <t>'B28004_014',</t>
  </si>
  <si>
    <t>B28004_014</t>
  </si>
  <si>
    <t>!!$35,000 to $49,999:</t>
  </si>
  <si>
    <t>Estimate!!Total:!!$35,000 to $49,999:!!With dial-up Internet subscription alone</t>
  </si>
  <si>
    <t>'B28004_015',</t>
  </si>
  <si>
    <t>B28004_015</t>
  </si>
  <si>
    <t>!!$35,000 to $49,999:!!With dial-up Internet subscription alone</t>
  </si>
  <si>
    <t>Estimate!!Total:!!$35,000 to $49,999:!!With a broadband Internet subscription</t>
  </si>
  <si>
    <t>'B28004_016',</t>
  </si>
  <si>
    <t>B28004_016</t>
  </si>
  <si>
    <t>!!$35,000 to $49,999:!!With a broadband Internet subscription</t>
  </si>
  <si>
    <t>Estimate!!Total:!!$35,000 to $49,999:!!Without an Internet subscription</t>
  </si>
  <si>
    <t>'B28004_017',</t>
  </si>
  <si>
    <t>B28004_017</t>
  </si>
  <si>
    <t>!!$35,000 to $49,999:!!Without an Internet subscription</t>
  </si>
  <si>
    <t>Estimate!!Total:!!$50,000 to $74,999:</t>
  </si>
  <si>
    <t>'B28004_018',</t>
  </si>
  <si>
    <t>B28004_018</t>
  </si>
  <si>
    <t>!!$50,000 to $74,999:</t>
  </si>
  <si>
    <t>Estimate!!Total:!!$50,000 to $74,999:!!With dial-up Internet subscription alone</t>
  </si>
  <si>
    <t>'B28004_019',</t>
  </si>
  <si>
    <t>B28004_019</t>
  </si>
  <si>
    <t>!!$50,000 to $74,999:!!With dial-up Internet subscription alone</t>
  </si>
  <si>
    <t>Estimate!!Total:!!$50,000 to $74,999:!!With a broadband Internet subscription</t>
  </si>
  <si>
    <t>'B28004_020',</t>
  </si>
  <si>
    <t>B28004_020</t>
  </si>
  <si>
    <t>!!$50,000 to $74,999:!!With a broadband Internet subscription</t>
  </si>
  <si>
    <t>Estimate!!Total:!!$50,000 to $74,999:!!Without an Internet subscription</t>
  </si>
  <si>
    <t>'B28004_021',</t>
  </si>
  <si>
    <t>B28004_021</t>
  </si>
  <si>
    <t>!!$50,000 to $74,999:!!Without an Internet subscription</t>
  </si>
  <si>
    <t>Estimate!!Total:!!$75,000 or more:</t>
  </si>
  <si>
    <t>'B28004_022',</t>
  </si>
  <si>
    <t>B28004_022</t>
  </si>
  <si>
    <t>!!$75,000 or more:</t>
  </si>
  <si>
    <t>Estimate!!Total:!!$75,000 or more:!!With dial-up Internet subscription alone</t>
  </si>
  <si>
    <t>'B28004_023',</t>
  </si>
  <si>
    <t>B28004_023</t>
  </si>
  <si>
    <t>!!$75,000 or more:!!With dial-up Internet subscription alone</t>
  </si>
  <si>
    <t>Estimate!!Total:!!$75,000 or more:!!With a broadband Internet subscription</t>
  </si>
  <si>
    <t>'B28004_024',</t>
  </si>
  <si>
    <t>B28004_024</t>
  </si>
  <si>
    <t>!!$75,000 or more:!!With a broadband Internet subscription</t>
  </si>
  <si>
    <t>Estimate!!Total:!!$75,000 or more:!!Without an Internet subscription</t>
  </si>
  <si>
    <t>'B28004_025',</t>
  </si>
  <si>
    <t>B28004_025</t>
  </si>
  <si>
    <t>!!$75,000 or more:!!Without an Internet subscription</t>
  </si>
  <si>
    <t>Age by Presence of a Computer and Types of Internet Subscription in Household</t>
  </si>
  <si>
    <t>'B28005_001',</t>
  </si>
  <si>
    <t>B28005_001</t>
  </si>
  <si>
    <t>Estimate!!Total:!!Under 18 years:</t>
  </si>
  <si>
    <t>'B28005_002',</t>
  </si>
  <si>
    <t>B28005_002</t>
  </si>
  <si>
    <t>!!Under 18 years:</t>
  </si>
  <si>
    <t>Estimate!!Total:!!Under 18 years:!!Has a computer:</t>
  </si>
  <si>
    <t>'B28005_003',</t>
  </si>
  <si>
    <t>B28005_003</t>
  </si>
  <si>
    <t>!!Under 18 years:!!Has a computer:</t>
  </si>
  <si>
    <t>Estimate!!Total:!!Under 18 years:!!Has a computer:!!With dial-up Internet subscription alone</t>
  </si>
  <si>
    <t>'B28005_004',</t>
  </si>
  <si>
    <t>B28005_004</t>
  </si>
  <si>
    <t>!!Under 18 years:!!Has a computer:!!With dial-up Internet subscription alone</t>
  </si>
  <si>
    <t>Estimate!!Total:!!Under 18 years:!!Has a computer:!!With a broadband Internet subscription</t>
  </si>
  <si>
    <t>'B28005_005',</t>
  </si>
  <si>
    <t>B28005_005</t>
  </si>
  <si>
    <t>!!Under 18 years:!!Has a computer:!!With a broadband Internet subscription</t>
  </si>
  <si>
    <t>Estimate!!Total:!!Under 18 years:!!Has a computer:!!Without an Internet subscription</t>
  </si>
  <si>
    <t>'B28005_006',</t>
  </si>
  <si>
    <t>B28005_006</t>
  </si>
  <si>
    <t>!!Under 18 years:!!Has a computer:!!Without an Internet subscription</t>
  </si>
  <si>
    <t>Estimate!!Total:!!Under 18 years:!!No computer</t>
  </si>
  <si>
    <t>'B28005_007',</t>
  </si>
  <si>
    <t>B28005_007</t>
  </si>
  <si>
    <t>!!Under 18 years:!!No computer</t>
  </si>
  <si>
    <t>Estimate!!Total:!!18 to 64 years:</t>
  </si>
  <si>
    <t>'B28005_008',</t>
  </si>
  <si>
    <t>B28005_008</t>
  </si>
  <si>
    <t>!!18 to 64 years:</t>
  </si>
  <si>
    <t>Estimate!!Total:!!18 to 64 years:!!Has a computer:</t>
  </si>
  <si>
    <t>'B28005_009',</t>
  </si>
  <si>
    <t>B28005_009</t>
  </si>
  <si>
    <t>!!18 to 64 years:!!Has a computer:</t>
  </si>
  <si>
    <t>Estimate!!Total:!!18 to 64 years:!!Has a computer:!!With dial-up Internet subscription alone</t>
  </si>
  <si>
    <t>'B28005_010',</t>
  </si>
  <si>
    <t>B28005_010</t>
  </si>
  <si>
    <t>!!18 to 64 years:!!Has a computer:!!With dial-up Internet subscription alone</t>
  </si>
  <si>
    <t>Estimate!!Total:!!18 to 64 years:!!Has a computer:!!With a broadband Internet subscription</t>
  </si>
  <si>
    <t>'B28005_011',</t>
  </si>
  <si>
    <t>B28005_011</t>
  </si>
  <si>
    <t>!!18 to 64 years:!!Has a computer:!!With a broadband Internet subscription</t>
  </si>
  <si>
    <t>Estimate!!Total:!!18 to 64 years:!!Has a computer:!!Without an Internet subscription</t>
  </si>
  <si>
    <t>'B28005_012',</t>
  </si>
  <si>
    <t>B28005_012</t>
  </si>
  <si>
    <t>!!18 to 64 years:!!Has a computer:!!Without an Internet subscription</t>
  </si>
  <si>
    <t>Estimate!!Total:!!18 to 64 years:!!No computer</t>
  </si>
  <si>
    <t>'B28005_013',</t>
  </si>
  <si>
    <t>B28005_013</t>
  </si>
  <si>
    <t>!!18 to 64 years:!!No computer</t>
  </si>
  <si>
    <t>Estimate!!Total:!!65 years and over:</t>
  </si>
  <si>
    <t>'B28005_014',</t>
  </si>
  <si>
    <t>B28005_014</t>
  </si>
  <si>
    <t>!!65 years and over:</t>
  </si>
  <si>
    <t>Estimate!!Total:!!65 years and over:!!Has a computer:</t>
  </si>
  <si>
    <t>'B28005_015',</t>
  </si>
  <si>
    <t>B28005_015</t>
  </si>
  <si>
    <t>!!65 years and over:!!Has a computer:</t>
  </si>
  <si>
    <t>Estimate!!Total:!!65 years and over:!!Has a computer:!!With dial-up Internet subscription alone</t>
  </si>
  <si>
    <t>'B28005_016',</t>
  </si>
  <si>
    <t>B28005_016</t>
  </si>
  <si>
    <t>!!65 years and over:!!Has a computer:!!With dial-up Internet subscription alone</t>
  </si>
  <si>
    <t>Estimate!!Total:!!65 years and over:!!Has a computer:!!With a broadband Internet subscription</t>
  </si>
  <si>
    <t>'B28005_017',</t>
  </si>
  <si>
    <t>B28005_017</t>
  </si>
  <si>
    <t>!!65 years and over:!!Has a computer:!!With a broadband Internet subscription</t>
  </si>
  <si>
    <t>Estimate!!Total:!!65 years and over:!!Has a computer:!!Without an Internet subscription</t>
  </si>
  <si>
    <t>'B28005_018',</t>
  </si>
  <si>
    <t>B28005_018</t>
  </si>
  <si>
    <t>!!65 years and over:!!Has a computer:!!Without an Internet subscription</t>
  </si>
  <si>
    <t>Estimate!!Total:!!65 years and over:!!No computer</t>
  </si>
  <si>
    <t>'B28005_019',</t>
  </si>
  <si>
    <t>B28005_019</t>
  </si>
  <si>
    <t>!!65 years and over:!!No computer</t>
  </si>
  <si>
    <t>Educational Attainment by Presence of a Computer and Types of Internet Subscription in Household</t>
  </si>
  <si>
    <t>'B28006_001',</t>
  </si>
  <si>
    <t>B28006_001</t>
  </si>
  <si>
    <t>Estimate!!Total:!!Less than high school graduate or equivalency:</t>
  </si>
  <si>
    <t>'B28006_002',</t>
  </si>
  <si>
    <t>B28006_002</t>
  </si>
  <si>
    <t>!!Less than high school graduate or equivalency:</t>
  </si>
  <si>
    <t>Estimate!!Total:!!Less than high school graduate or equivalency:!!Has a computer:</t>
  </si>
  <si>
    <t>'B28006_003',</t>
  </si>
  <si>
    <t>B28006_003</t>
  </si>
  <si>
    <t>!!Less than high school graduate or equivalency:!!Has a computer:</t>
  </si>
  <si>
    <t>Estimate!!Total:!!Less than high school graduate or equivalency:!!Has a computer:!!With dial-up Internet subscription alone</t>
  </si>
  <si>
    <t>'B28006_004',</t>
  </si>
  <si>
    <t>B28006_004</t>
  </si>
  <si>
    <t>!!Less than high school graduate or equivalency:!!Has a computer:!!With dial-up Internet subscription alone</t>
  </si>
  <si>
    <t>Estimate!!Total:!!Less than high school graduate or equivalency:!!Has a computer:!!With a broadband Internet subscription</t>
  </si>
  <si>
    <t>'B28006_005',</t>
  </si>
  <si>
    <t>B28006_005</t>
  </si>
  <si>
    <t>!!Less than high school graduate or equivalency:!!Has a computer:!!With a broadband Internet subscription</t>
  </si>
  <si>
    <t>Estimate!!Total:!!Less than high school graduate or equivalency:!!Has a computer:!!Without an Internet subscription</t>
  </si>
  <si>
    <t>'B28006_006',</t>
  </si>
  <si>
    <t>B28006_006</t>
  </si>
  <si>
    <t>!!Less than high school graduate or equivalency:!!Has a computer:!!Without an Internet subscription</t>
  </si>
  <si>
    <t>Estimate!!Total:!!Less than high school graduate or equivalency:!!No computer</t>
  </si>
  <si>
    <t>'B28006_007',</t>
  </si>
  <si>
    <t>B28006_007</t>
  </si>
  <si>
    <t>!!Less than high school graduate or equivalency:!!No computer</t>
  </si>
  <si>
    <t>Estimate!!Total:!!High school graduate (includes equivalency) , some college or associate's degree :</t>
  </si>
  <si>
    <t>'B28006_008',</t>
  </si>
  <si>
    <t>B28006_008</t>
  </si>
  <si>
    <t>!!High school graduate (includes equivalency) , some college or associate's degree :</t>
  </si>
  <si>
    <t>Estimate!!Total:!!High school graduate (includes equivalency) , some college or associate's degree :!!Has a computer:</t>
  </si>
  <si>
    <t>'B28006_009',</t>
  </si>
  <si>
    <t>B28006_009</t>
  </si>
  <si>
    <t>!!High school graduate (includes equivalency) , some college or associate's degree :!!Has a computer:</t>
  </si>
  <si>
    <t>Estimate!!Total:!!High school graduate (includes equivalency) , some college or associate's degree :!!Has a computer:!!With dial-up Internet subscription alone</t>
  </si>
  <si>
    <t>'B28006_010',</t>
  </si>
  <si>
    <t>B28006_010</t>
  </si>
  <si>
    <t>!!High school graduate (includes equivalency) , some college or associate's degree :!!Has a computer:!!With dial-up Internet subscription alone</t>
  </si>
  <si>
    <t>Estimate!!Total:!!High school graduate (includes equivalency) , some college or associate's degree :!!Has a computer:!!With a broadband Internet subscription</t>
  </si>
  <si>
    <t>'B28006_011',</t>
  </si>
  <si>
    <t>B28006_011</t>
  </si>
  <si>
    <t>!!High school graduate (includes equivalency) , some college or associate's degree :!!Has a computer:!!With a broadband Internet subscription</t>
  </si>
  <si>
    <t>Estimate!!Total:!!High school graduate (includes equivalency) , some college or associate's degree :!!Has a computer:!!Without an Internet subscription</t>
  </si>
  <si>
    <t>'B28006_012',</t>
  </si>
  <si>
    <t>B28006_012</t>
  </si>
  <si>
    <t>!!High school graduate (includes equivalency) , some college or associate's degree :!!Has a computer:!!Without an Internet subscription</t>
  </si>
  <si>
    <t>Estimate!!Total:!!High school graduate (includes equivalency) , some college or associate's degree :!!No computer</t>
  </si>
  <si>
    <t>'B28006_013',</t>
  </si>
  <si>
    <t>B28006_013</t>
  </si>
  <si>
    <t>!!High school graduate (includes equivalency) , some college or associate's degree :!!No computer</t>
  </si>
  <si>
    <t>Estimate!!Total:!!Bachelor's degree or higher:</t>
  </si>
  <si>
    <t>'B28006_014',</t>
  </si>
  <si>
    <t>B28006_014</t>
  </si>
  <si>
    <t>!!Bachelor's degree or higher:</t>
  </si>
  <si>
    <t>Estimate!!Total:!!Bachelor's degree or higher:!!Has a computer:</t>
  </si>
  <si>
    <t>'B28006_015',</t>
  </si>
  <si>
    <t>B28006_015</t>
  </si>
  <si>
    <t>!!Bachelor's degree or higher:!!Has a computer:</t>
  </si>
  <si>
    <t>Estimate!!Total:!!Bachelor's degree or higher:!!Has a computer:!!With dial-up Internet subscription alone</t>
  </si>
  <si>
    <t>'B28006_016',</t>
  </si>
  <si>
    <t>B28006_016</t>
  </si>
  <si>
    <t>!!Bachelor's degree or higher:!!Has a computer:!!With dial-up Internet subscription alone</t>
  </si>
  <si>
    <t>Estimate!!Total:!!Bachelor's degree or higher:!!Has a computer:!!With a broadband Internet subscription</t>
  </si>
  <si>
    <t>'B28006_017',</t>
  </si>
  <si>
    <t>B28006_017</t>
  </si>
  <si>
    <t>!!Bachelor's degree or higher:!!Has a computer:!!With a broadband Internet subscription</t>
  </si>
  <si>
    <t>Estimate!!Total:!!Bachelor's degree or higher:!!Has a computer:!!Without an Internet subscription</t>
  </si>
  <si>
    <t>'B28006_018',</t>
  </si>
  <si>
    <t>B28006_018</t>
  </si>
  <si>
    <t>!!Bachelor's degree or higher:!!Has a computer:!!Without an Internet subscription</t>
  </si>
  <si>
    <t>Estimate!!Total:!!Bachelor's degree or higher:!!No computer</t>
  </si>
  <si>
    <t>'B28006_019',</t>
  </si>
  <si>
    <t>B28006_019</t>
  </si>
  <si>
    <t>!!Bachelor's degree or higher:!!No computer</t>
  </si>
  <si>
    <t>Labor Force Status by Presence of a Computer and Types of Internet Subscription in Household</t>
  </si>
  <si>
    <t>'B28007_001',</t>
  </si>
  <si>
    <t>B28007_001</t>
  </si>
  <si>
    <t>Estimate!!Total:!!In the civilian labor force:</t>
  </si>
  <si>
    <t>'B28007_002',</t>
  </si>
  <si>
    <t>B28007_002</t>
  </si>
  <si>
    <t>!!In the civilian labor force:</t>
  </si>
  <si>
    <t>Estimate!!Total:!!In the civilian labor force:!!Employed:</t>
  </si>
  <si>
    <t>'B28007_003',</t>
  </si>
  <si>
    <t>B28007_003</t>
  </si>
  <si>
    <t>!!In the civilian labor force:!!Employed:</t>
  </si>
  <si>
    <t>Estimate!!Total:!!In the civilian labor force:!!Employed:!!Has a computer:</t>
  </si>
  <si>
    <t>'B28007_004',</t>
  </si>
  <si>
    <t>B28007_004</t>
  </si>
  <si>
    <t>!!In the civilian labor force:!!Employed:!!Has a computer:</t>
  </si>
  <si>
    <t>Estimate!!Total:!!In the civilian labor force:!!Employed:!!Has a computer:!!With dial-up Internet subscription alone</t>
  </si>
  <si>
    <t>'B28007_005',</t>
  </si>
  <si>
    <t>B28007_005</t>
  </si>
  <si>
    <t>!!In the civilian labor force:!!Employed:!!Has a computer:!!With dial-up Internet subscription alone</t>
  </si>
  <si>
    <t>Estimate!!Total:!!In the civilian labor force:!!Employed:!!Has a computer:!!With a broadband Internet subscription</t>
  </si>
  <si>
    <t>'B28007_006',</t>
  </si>
  <si>
    <t>B28007_006</t>
  </si>
  <si>
    <t>!!In the civilian labor force:!!Employed:!!Has a computer:!!With a broadband Internet subscription</t>
  </si>
  <si>
    <t>Estimate!!Total:!!In the civilian labor force:!!Employed:!!Has a computer:!!Without an Internet subscription</t>
  </si>
  <si>
    <t>'B28007_007',</t>
  </si>
  <si>
    <t>B28007_007</t>
  </si>
  <si>
    <t>!!In the civilian labor force:!!Employed:!!Has a computer:!!Without an Internet subscription</t>
  </si>
  <si>
    <t>Estimate!!Total:!!In the civilian labor force:!!Employed:!!No computer</t>
  </si>
  <si>
    <t>'B28007_008',</t>
  </si>
  <si>
    <t>B28007_008</t>
  </si>
  <si>
    <t>!!In the civilian labor force:!!Employed:!!No computer</t>
  </si>
  <si>
    <t>Estimate!!Total:!!In the civilian labor force:!!Unemployed:</t>
  </si>
  <si>
    <t>'B28007_009',</t>
  </si>
  <si>
    <t>B28007_009</t>
  </si>
  <si>
    <t>!!In the civilian labor force:!!Unemployed:</t>
  </si>
  <si>
    <t>Estimate!!Total:!!In the civilian labor force:!!Unemployed:!!Has a computer:</t>
  </si>
  <si>
    <t>'B28007_010',</t>
  </si>
  <si>
    <t>B28007_010</t>
  </si>
  <si>
    <t>!!In the civilian labor force:!!Unemployed:!!Has a computer:</t>
  </si>
  <si>
    <t>Estimate!!Total:!!In the civilian labor force:!!Unemployed:!!Has a computer:!!With dial-up Internet subscription alone</t>
  </si>
  <si>
    <t>'B28007_011',</t>
  </si>
  <si>
    <t>B28007_011</t>
  </si>
  <si>
    <t>!!In the civilian labor force:!!Unemployed:!!Has a computer:!!With dial-up Internet subscription alone</t>
  </si>
  <si>
    <t>Estimate!!Total:!!In the civilian labor force:!!Unemployed:!!Has a computer:!!With a broadband Internet subscription</t>
  </si>
  <si>
    <t>'B28007_012',</t>
  </si>
  <si>
    <t>B28007_012</t>
  </si>
  <si>
    <t>!!In the civilian labor force:!!Unemployed:!!Has a computer:!!With a broadband Internet subscription</t>
  </si>
  <si>
    <t>Estimate!!Total:!!In the civilian labor force:!!Unemployed:!!Has a computer:!!Without an Internet subscription</t>
  </si>
  <si>
    <t>'B28007_013',</t>
  </si>
  <si>
    <t>B28007_013</t>
  </si>
  <si>
    <t>!!In the civilian labor force:!!Unemployed:!!Has a computer:!!Without an Internet subscription</t>
  </si>
  <si>
    <t>Estimate!!Total:!!In the civilian labor force:!!Unemployed:!!No computer</t>
  </si>
  <si>
    <t>'B28007_014',</t>
  </si>
  <si>
    <t>B28007_014</t>
  </si>
  <si>
    <t>!!In the civilian labor force:!!Unemployed:!!No computer</t>
  </si>
  <si>
    <t>Estimate!!Total:!!Not in labor force:</t>
  </si>
  <si>
    <t>'B28007_015',</t>
  </si>
  <si>
    <t>B28007_015</t>
  </si>
  <si>
    <t>!!Not in labor force:</t>
  </si>
  <si>
    <t>Estimate!!Total:!!Not in labor force:!!Has a computer:</t>
  </si>
  <si>
    <t>'B28007_016',</t>
  </si>
  <si>
    <t>B28007_016</t>
  </si>
  <si>
    <t>!!Not in labor force:!!Has a computer:</t>
  </si>
  <si>
    <t>Estimate!!Total:!!Not in labor force:!!Has a computer:!!With dial-up Internet subscription alone</t>
  </si>
  <si>
    <t>'B28007_017',</t>
  </si>
  <si>
    <t>B28007_017</t>
  </si>
  <si>
    <t>!!Not in labor force:!!Has a computer:!!With dial-up Internet subscription alone</t>
  </si>
  <si>
    <t>Estimate!!Total:!!Not in labor force:!!Has a computer:!!With a broadband Internet subscription</t>
  </si>
  <si>
    <t>'B28007_018',</t>
  </si>
  <si>
    <t>B28007_018</t>
  </si>
  <si>
    <t>!!Not in labor force:!!Has a computer:!!With a broadband Internet subscription</t>
  </si>
  <si>
    <t>Estimate!!Total:!!Not in labor force:!!Has a computer:!!Without an Internet subscription</t>
  </si>
  <si>
    <t>'B28007_019',</t>
  </si>
  <si>
    <t>B28007_019</t>
  </si>
  <si>
    <t>!!Not in labor force:!!Has a computer:!!Without an Internet subscription</t>
  </si>
  <si>
    <t>Estimate!!Total:!!Not in labor force:!!No computer</t>
  </si>
  <si>
    <t>'B28007_020',</t>
  </si>
  <si>
    <t>B28007_020</t>
  </si>
  <si>
    <t>!!Not in labor force:!!No computer</t>
  </si>
  <si>
    <t>'B28008_001',</t>
  </si>
  <si>
    <t>B28008_001</t>
  </si>
  <si>
    <t>'B28008_002',</t>
  </si>
  <si>
    <t>B28008_002</t>
  </si>
  <si>
    <t>'B28008_003',</t>
  </si>
  <si>
    <t>B28008_003</t>
  </si>
  <si>
    <t>Estimate!!Total:!!Has a computer:!!With a broadband subscription:</t>
  </si>
  <si>
    <t>'B28008_004',</t>
  </si>
  <si>
    <t>B28008_004</t>
  </si>
  <si>
    <t>!!Has a computer:!!With a broadband subscription:</t>
  </si>
  <si>
    <t>Estimate!!Total:!!Has a computer:!!With a broadband subscription:!!With a fixed broadband Internet subscription:</t>
  </si>
  <si>
    <t>'B28008_005',</t>
  </si>
  <si>
    <t>B28008_005</t>
  </si>
  <si>
    <t>!!Has a computer:!!With a broadband subscription:!!With a fixed broadband Internet subscription:</t>
  </si>
  <si>
    <t>Estimate!!Total:!!Has a computer:!!With a broadband subscription:!!With a fixed broadband Internet subscription:!!With a cellular data plan</t>
  </si>
  <si>
    <t>'B28008_006',</t>
  </si>
  <si>
    <t>B28008_006</t>
  </si>
  <si>
    <t>!!Has a computer:!!With a broadband subscription:!!With a fixed broadband Internet subscription:!!With a cellular data plan</t>
  </si>
  <si>
    <t>Estimate!!Total:!!Has a computer:!!With a broadband subscription:!!With a fixed broadband Internet subscription:!!Without a cellular data plan</t>
  </si>
  <si>
    <t>'B28008_007',</t>
  </si>
  <si>
    <t>B28008_007</t>
  </si>
  <si>
    <t>!!Has a computer:!!With a broadband subscription:!!With a fixed broadband Internet subscription:!!Without a cellular data plan</t>
  </si>
  <si>
    <t>Estimate!!Total:!!Has a computer:!!With a broadband subscription:!!Cellular data plan alone or with dial-up</t>
  </si>
  <si>
    <t>'B28008_008',</t>
  </si>
  <si>
    <t>B28008_008</t>
  </si>
  <si>
    <t>!!Has a computer:!!With a broadband subscription:!!Cellular data plan alone or with dial-up</t>
  </si>
  <si>
    <t>Estimate!!Total:!!Has a computer:!!Without Internet subscription</t>
  </si>
  <si>
    <t>'B28008_009',</t>
  </si>
  <si>
    <t>B28008_009</t>
  </si>
  <si>
    <t>!!Has a computer:!!Without Internet subscription</t>
  </si>
  <si>
    <t>'B28008_010',</t>
  </si>
  <si>
    <t>B28008_010</t>
  </si>
  <si>
    <t>Presence of a Computer and Type of Internet Subscription in Household (White Alone)</t>
  </si>
  <si>
    <t>'B28009A_001',</t>
  </si>
  <si>
    <t>B28009A_001</t>
  </si>
  <si>
    <t>'B28009A_002',</t>
  </si>
  <si>
    <t>B28009A_002</t>
  </si>
  <si>
    <t>'B28009A_003',</t>
  </si>
  <si>
    <t>B28009A_003</t>
  </si>
  <si>
    <t>'B28009A_004',</t>
  </si>
  <si>
    <t>B28009A_004</t>
  </si>
  <si>
    <t>'B28009A_005',</t>
  </si>
  <si>
    <t>B28009A_005</t>
  </si>
  <si>
    <t>'B28009A_006',</t>
  </si>
  <si>
    <t>B28009A_006</t>
  </si>
  <si>
    <t>Presence of a Computer and Type of Internet Subscription in Household (Black or African American Alone)</t>
  </si>
  <si>
    <t>'B28009B_001',</t>
  </si>
  <si>
    <t>B28009B_001</t>
  </si>
  <si>
    <t>'B28009B_002',</t>
  </si>
  <si>
    <t>B28009B_002</t>
  </si>
  <si>
    <t>'B28009B_003',</t>
  </si>
  <si>
    <t>B28009B_003</t>
  </si>
  <si>
    <t>'B28009B_004',</t>
  </si>
  <si>
    <t>B28009B_004</t>
  </si>
  <si>
    <t>'B28009B_005',</t>
  </si>
  <si>
    <t>B28009B_005</t>
  </si>
  <si>
    <t>'B28009B_006',</t>
  </si>
  <si>
    <t>B28009B_006</t>
  </si>
  <si>
    <t>Presence of a Computer and Type of Internet Subscription in Household (American Indian and Alaska Native Alone)</t>
  </si>
  <si>
    <t>'B28009C_001',</t>
  </si>
  <si>
    <t>B28009C_001</t>
  </si>
  <si>
    <t>'B28009C_002',</t>
  </si>
  <si>
    <t>B28009C_002</t>
  </si>
  <si>
    <t>'B28009C_003',</t>
  </si>
  <si>
    <t>B28009C_003</t>
  </si>
  <si>
    <t>'B28009C_004',</t>
  </si>
  <si>
    <t>B28009C_004</t>
  </si>
  <si>
    <t>'B28009C_005',</t>
  </si>
  <si>
    <t>B28009C_005</t>
  </si>
  <si>
    <t>'B28009C_006',</t>
  </si>
  <si>
    <t>B28009C_006</t>
  </si>
  <si>
    <t>Presence of a Computer and Type of Internet Subscription in Household (Asian Alone)</t>
  </si>
  <si>
    <t>'B28009D_001',</t>
  </si>
  <si>
    <t>B28009D_001</t>
  </si>
  <si>
    <t>'B28009D_002',</t>
  </si>
  <si>
    <t>B28009D_002</t>
  </si>
  <si>
    <t>'B28009D_003',</t>
  </si>
  <si>
    <t>B28009D_003</t>
  </si>
  <si>
    <t>'B28009D_004',</t>
  </si>
  <si>
    <t>B28009D_004</t>
  </si>
  <si>
    <t>'B28009D_005',</t>
  </si>
  <si>
    <t>B28009D_005</t>
  </si>
  <si>
    <t>'B28009D_006',</t>
  </si>
  <si>
    <t>B28009D_006</t>
  </si>
  <si>
    <t>Presence of a Computer and Type of Internet Subscription in Household (Native Hawaiian and Other Pacific Islander Alone)</t>
  </si>
  <si>
    <t>'B28009E_001',</t>
  </si>
  <si>
    <t>B28009E_001</t>
  </si>
  <si>
    <t>'B28009E_002',</t>
  </si>
  <si>
    <t>B28009E_002</t>
  </si>
  <si>
    <t>'B28009E_003',</t>
  </si>
  <si>
    <t>B28009E_003</t>
  </si>
  <si>
    <t>'B28009E_004',</t>
  </si>
  <si>
    <t>B28009E_004</t>
  </si>
  <si>
    <t>'B28009E_005',</t>
  </si>
  <si>
    <t>B28009E_005</t>
  </si>
  <si>
    <t>'B28009E_006',</t>
  </si>
  <si>
    <t>B28009E_006</t>
  </si>
  <si>
    <t>Presence of a Computer and Type of Internet Subscription in Household (Some Other Race Alone)</t>
  </si>
  <si>
    <t>'B28009F_001',</t>
  </si>
  <si>
    <t>B28009F_001</t>
  </si>
  <si>
    <t>'B28009F_002',</t>
  </si>
  <si>
    <t>B28009F_002</t>
  </si>
  <si>
    <t>'B28009F_003',</t>
  </si>
  <si>
    <t>B28009F_003</t>
  </si>
  <si>
    <t>'B28009F_004',</t>
  </si>
  <si>
    <t>B28009F_004</t>
  </si>
  <si>
    <t>'B28009F_005',</t>
  </si>
  <si>
    <t>B28009F_005</t>
  </si>
  <si>
    <t>'B28009F_006',</t>
  </si>
  <si>
    <t>B28009F_006</t>
  </si>
  <si>
    <t>Presence of a Computer and Type of Internet Subscription in Household (Two or More Races)</t>
  </si>
  <si>
    <t>'B28009G_001',</t>
  </si>
  <si>
    <t>B28009G_001</t>
  </si>
  <si>
    <t>'B28009G_002',</t>
  </si>
  <si>
    <t>B28009G_002</t>
  </si>
  <si>
    <t>'B28009G_003',</t>
  </si>
  <si>
    <t>B28009G_003</t>
  </si>
  <si>
    <t>'B28009G_004',</t>
  </si>
  <si>
    <t>B28009G_004</t>
  </si>
  <si>
    <t>'B28009G_005',</t>
  </si>
  <si>
    <t>B28009G_005</t>
  </si>
  <si>
    <t>'B28009G_006',</t>
  </si>
  <si>
    <t>B28009G_006</t>
  </si>
  <si>
    <t>Presence of a Computer and Type of Internet Subscription in Household (White Alone, Not Hispanic or Latino)</t>
  </si>
  <si>
    <t>'B28009H_001',</t>
  </si>
  <si>
    <t>B28009H_001</t>
  </si>
  <si>
    <t>'B28009H_002',</t>
  </si>
  <si>
    <t>B28009H_002</t>
  </si>
  <si>
    <t>'B28009H_003',</t>
  </si>
  <si>
    <t>B28009H_003</t>
  </si>
  <si>
    <t>'B28009H_004',</t>
  </si>
  <si>
    <t>B28009H_004</t>
  </si>
  <si>
    <t>'B28009H_005',</t>
  </si>
  <si>
    <t>B28009H_005</t>
  </si>
  <si>
    <t>'B28009H_006',</t>
  </si>
  <si>
    <t>B28009H_006</t>
  </si>
  <si>
    <t>Presence of a Computer and Type of Internet Subscription in Household (Hispanic or Latino)</t>
  </si>
  <si>
    <t>'B28009I_001',</t>
  </si>
  <si>
    <t>B28009I_001</t>
  </si>
  <si>
    <t>'B28009I_002',</t>
  </si>
  <si>
    <t>B28009I_002</t>
  </si>
  <si>
    <t>'B28009I_003',</t>
  </si>
  <si>
    <t>B28009I_003</t>
  </si>
  <si>
    <t>'B28009I_004',</t>
  </si>
  <si>
    <t>B28009I_004</t>
  </si>
  <si>
    <t>'B28009I_005',</t>
  </si>
  <si>
    <t>B28009I_005</t>
  </si>
  <si>
    <t>'B28009I_006',</t>
  </si>
  <si>
    <t>B28009I_006</t>
  </si>
  <si>
    <t>Computers in Household</t>
  </si>
  <si>
    <t>'B28010_001',</t>
  </si>
  <si>
    <t>B28010_001</t>
  </si>
  <si>
    <t>'B28010_002',</t>
  </si>
  <si>
    <t>B28010_002</t>
  </si>
  <si>
    <t>'B28010_003',</t>
  </si>
  <si>
    <t>B28010_003</t>
  </si>
  <si>
    <t>Estimate!!Total:!!Has one or more types of computing devices:!!Desktop or laptop!!Desktop or laptop alone</t>
  </si>
  <si>
    <t>'B28010_004',</t>
  </si>
  <si>
    <t>B28010_004</t>
  </si>
  <si>
    <t>!!Has one or more types of computing devices:!!Desktop or laptop!!Desktop or laptop alone</t>
  </si>
  <si>
    <t>Estimate!!Total:!!Has one or more types of computing devices:!!Smartphone, tablet or other portable wireless computer or other computer</t>
  </si>
  <si>
    <t>'B28010_005',</t>
  </si>
  <si>
    <t>B28010_005</t>
  </si>
  <si>
    <t>!!Has one or more types of computing devices:!!Smartphone, tablet or other portable wireless computer or other computer</t>
  </si>
  <si>
    <t>Estimate!!Total:!!Has one or more types of computing devices:!!Smartphone, tablet or other portable wireless computer or other computer!!Smartphone, tablet or other portable wireless computer or other computer, no desktop or laptop</t>
  </si>
  <si>
    <t>'B28010_006',</t>
  </si>
  <si>
    <t>B28010_006</t>
  </si>
  <si>
    <t>!!Has one or more types of computing devices:!!Smartphone, tablet or other portable wireless computer or other computer!!Smartphone, tablet or other portable wireless computer or other computer, no desktop or laptop</t>
  </si>
  <si>
    <t>'B28010_007',</t>
  </si>
  <si>
    <t>B28010_007</t>
  </si>
  <si>
    <t>Internet Subscriptions in Household</t>
  </si>
  <si>
    <t>'B28011_001',</t>
  </si>
  <si>
    <t>B28011_001</t>
  </si>
  <si>
    <t>'B28011_002',</t>
  </si>
  <si>
    <t>B28011_002</t>
  </si>
  <si>
    <t>Estimate!!Total:!!With an Internet subscription!!Dial-up alone</t>
  </si>
  <si>
    <t>'B28011_003',</t>
  </si>
  <si>
    <t>B28011_003</t>
  </si>
  <si>
    <t>!!With an Internet subscription!!Dial-up alone</t>
  </si>
  <si>
    <t>Estimate!!Total:!!With an Internet subscription!!Broadband such as cable, fiber optic, or DSL</t>
  </si>
  <si>
    <t>'B28011_004',</t>
  </si>
  <si>
    <t>B28011_004</t>
  </si>
  <si>
    <t>!!With an Internet subscription!!Broadband such as cable, fiber optic, or DSL</t>
  </si>
  <si>
    <t>'B28011_005',</t>
  </si>
  <si>
    <t>B28011_005</t>
  </si>
  <si>
    <t>Estimate!!Total:!!With an Internet subscription!!Other service</t>
  </si>
  <si>
    <t>'B28011_006',</t>
  </si>
  <si>
    <t>B28011_006</t>
  </si>
  <si>
    <t>!!With an Internet subscription!!Other service</t>
  </si>
  <si>
    <t>'B28011_007',</t>
  </si>
  <si>
    <t>B28011_007</t>
  </si>
  <si>
    <t>'B28011_008',</t>
  </si>
  <si>
    <t>B28011_008</t>
  </si>
  <si>
    <t>tract</t>
  </si>
  <si>
    <t>race, ethnicity, language, gender</t>
  </si>
  <si>
    <t>Sex by Age (Some Other Race Alone)</t>
  </si>
  <si>
    <t>Estimate!!Total:!!Male:!!65 to 74 years</t>
  </si>
  <si>
    <t>'B01001F_014',</t>
  </si>
  <si>
    <t>B01001F_014</t>
  </si>
  <si>
    <t>!!Male:!!65 to 74 years</t>
  </si>
  <si>
    <t>Estimate!!Total:!!Male:!!75 to 84 years</t>
  </si>
  <si>
    <t>'B01001F_015',</t>
  </si>
  <si>
    <t>B01001F_015</t>
  </si>
  <si>
    <t>!!Male:!!75 to 84 years</t>
  </si>
  <si>
    <t>Estimate!!Total:!!Male:!!85 years and over</t>
  </si>
  <si>
    <t>'B01001F_016',</t>
  </si>
  <si>
    <t>B01001F_016</t>
  </si>
  <si>
    <t>!!Male:!!85 years and over</t>
  </si>
  <si>
    <t>'B01001F_017',</t>
  </si>
  <si>
    <t>B01001F_017</t>
  </si>
  <si>
    <t>Estimate!!Total:!!Female:!!Under 5 years</t>
  </si>
  <si>
    <t>'B01001F_018',</t>
  </si>
  <si>
    <t>B01001F_018</t>
  </si>
  <si>
    <t>!!Female:!!Under 5 years</t>
  </si>
  <si>
    <t>Estimate!!Total:!!Female:!!5 to 9 years</t>
  </si>
  <si>
    <t>'B01001F_019',</t>
  </si>
  <si>
    <t>B01001F_019</t>
  </si>
  <si>
    <t>!!Female:!!5 to 9 years</t>
  </si>
  <si>
    <t>Estimate!!Total:!!Female:!!10 to 14 years</t>
  </si>
  <si>
    <t>'B01001F_020',</t>
  </si>
  <si>
    <t>B01001F_020</t>
  </si>
  <si>
    <t>!!Female:!!10 to 14 years</t>
  </si>
  <si>
    <t>Estimate!!Total:!!Female:!!15 to 17 years</t>
  </si>
  <si>
    <t>'B01001F_021',</t>
  </si>
  <si>
    <t>B01001F_021</t>
  </si>
  <si>
    <t>!!Female:!!15 to 17 years</t>
  </si>
  <si>
    <t>Estimate!!Total:!!Female:!!18 and 19 years</t>
  </si>
  <si>
    <t>'B01001F_022',</t>
  </si>
  <si>
    <t>B01001F_022</t>
  </si>
  <si>
    <t>!!Female:!!18 and 19 years</t>
  </si>
  <si>
    <t>Estimate!!Total:!!Female:!!20 to 24 years</t>
  </si>
  <si>
    <t>'B01001F_023',</t>
  </si>
  <si>
    <t>B01001F_023</t>
  </si>
  <si>
    <t>!!Female:!!20 to 24 years</t>
  </si>
  <si>
    <t>Estimate!!Total:!!Female:!!25 to 29 years</t>
  </si>
  <si>
    <t>'B01001F_024',</t>
  </si>
  <si>
    <t>B01001F_024</t>
  </si>
  <si>
    <t>!!Female:!!25 to 29 years</t>
  </si>
  <si>
    <t>Estimate!!Total:!!Female:!!30 to 34 years</t>
  </si>
  <si>
    <t>'B01001F_025',</t>
  </si>
  <si>
    <t>B01001F_025</t>
  </si>
  <si>
    <t>!!Female:!!30 to 34 years</t>
  </si>
  <si>
    <t>Estimate!!Total:!!Female:!!35 to 44 years</t>
  </si>
  <si>
    <t>'B01001F_026',</t>
  </si>
  <si>
    <t>B01001F_026</t>
  </si>
  <si>
    <t>!!Female:!!35 to 44 years</t>
  </si>
  <si>
    <t>Estimate!!Total:!!Female:!!45 to 54 years</t>
  </si>
  <si>
    <t>'B01001F_027',</t>
  </si>
  <si>
    <t>B01001F_027</t>
  </si>
  <si>
    <t>!!Female:!!45 to 54 years</t>
  </si>
  <si>
    <t>Estimate!!Total:!!Female:!!55 to 64 years</t>
  </si>
  <si>
    <t>'B01001F_028',</t>
  </si>
  <si>
    <t>B01001F_028</t>
  </si>
  <si>
    <t>!!Female:!!55 to 64 years</t>
  </si>
  <si>
    <t>Estimate!!Total:!!Female:!!65 to 74 years</t>
  </si>
  <si>
    <t>'B01001F_029',</t>
  </si>
  <si>
    <t>B01001F_029</t>
  </si>
  <si>
    <t>!!Female:!!65 to 74 years</t>
  </si>
  <si>
    <t>Estimate!!Total:!!Female:!!75 to 84 years</t>
  </si>
  <si>
    <t>'B01001F_030',</t>
  </si>
  <si>
    <t>B01001F_030</t>
  </si>
  <si>
    <t>!!Female:!!75 to 84 years</t>
  </si>
  <si>
    <t>Estimate!!Total:!!Female:!!85 years and over</t>
  </si>
  <si>
    <t>'B01001F_031',</t>
  </si>
  <si>
    <t>B01001F_031</t>
  </si>
  <si>
    <t>!!Female:!!85 years and over</t>
  </si>
  <si>
    <t>Sex by Age (Two or More Races)</t>
  </si>
  <si>
    <t>'B01001G_001',</t>
  </si>
  <si>
    <t>B01001G_001</t>
  </si>
  <si>
    <t>'B01001G_002',</t>
  </si>
  <si>
    <t>B01001G_002</t>
  </si>
  <si>
    <t>Estimate!!Total:!!Male:!!Under 5 years</t>
  </si>
  <si>
    <t>'B01001G_003',</t>
  </si>
  <si>
    <t>B01001G_003</t>
  </si>
  <si>
    <t>!!Male:!!Under 5 years</t>
  </si>
  <si>
    <t>Estimate!!Total:!!Male:!!5 to 9 years</t>
  </si>
  <si>
    <t>'B01001G_004',</t>
  </si>
  <si>
    <t>B01001G_004</t>
  </si>
  <si>
    <t>!!Male:!!5 to 9 years</t>
  </si>
  <si>
    <t>Estimate!!Total:!!Male:!!10 to 14 years</t>
  </si>
  <si>
    <t>'B01001G_005',</t>
  </si>
  <si>
    <t>B01001G_005</t>
  </si>
  <si>
    <t>!!Male:!!10 to 14 years</t>
  </si>
  <si>
    <t>Estimate!!Total:!!Male:!!15 to 17 years</t>
  </si>
  <si>
    <t>'B01001G_006',</t>
  </si>
  <si>
    <t>B01001G_006</t>
  </si>
  <si>
    <t>!!Male:!!15 to 17 years</t>
  </si>
  <si>
    <t>Estimate!!Total:!!Male:!!18 and 19 years</t>
  </si>
  <si>
    <t>'B01001G_007',</t>
  </si>
  <si>
    <t>B01001G_007</t>
  </si>
  <si>
    <t>!!Male:!!18 and 19 years</t>
  </si>
  <si>
    <t>Estimate!!Total:!!Male:!!20 to 24 years</t>
  </si>
  <si>
    <t>'B01001G_008',</t>
  </si>
  <si>
    <t>B01001G_008</t>
  </si>
  <si>
    <t>!!Male:!!20 to 24 years</t>
  </si>
  <si>
    <t>Estimate!!Total:!!Male:!!25 to 29 years</t>
  </si>
  <si>
    <t>'B01001G_009',</t>
  </si>
  <si>
    <t>B01001G_009</t>
  </si>
  <si>
    <t>!!Male:!!25 to 29 years</t>
  </si>
  <si>
    <t>Estimate!!Total:!!Male:!!30 to 34 years</t>
  </si>
  <si>
    <t>'B01001G_010',</t>
  </si>
  <si>
    <t>B01001G_010</t>
  </si>
  <si>
    <t>!!Male:!!30 to 34 years</t>
  </si>
  <si>
    <t>Estimate!!Total:!!Male:!!35 to 44 years</t>
  </si>
  <si>
    <t>'B01001G_011',</t>
  </si>
  <si>
    <t>B01001G_011</t>
  </si>
  <si>
    <t>!!Male:!!35 to 44 years</t>
  </si>
  <si>
    <t>Estimate!!Total:!!Male:!!45 to 54 years</t>
  </si>
  <si>
    <t>'B01001G_012',</t>
  </si>
  <si>
    <t>B01001G_012</t>
  </si>
  <si>
    <t>!!Male:!!45 to 54 years</t>
  </si>
  <si>
    <t>Estimate!!Total:!!Male:!!55 to 64 years</t>
  </si>
  <si>
    <t>'B01001G_013',</t>
  </si>
  <si>
    <t>B01001G_013</t>
  </si>
  <si>
    <t>!!Male:!!55 to 64 years</t>
  </si>
  <si>
    <t>'B01001G_014',</t>
  </si>
  <si>
    <t>B01001G_014</t>
  </si>
  <si>
    <t>'B01001G_015',</t>
  </si>
  <si>
    <t>B01001G_015</t>
  </si>
  <si>
    <t>'B01001G_016',</t>
  </si>
  <si>
    <t>B01001G_016</t>
  </si>
  <si>
    <t>'B01001G_017',</t>
  </si>
  <si>
    <t>B01001G_017</t>
  </si>
  <si>
    <t>'B01001G_018',</t>
  </si>
  <si>
    <t>B01001G_018</t>
  </si>
  <si>
    <t>'B01001G_019',</t>
  </si>
  <si>
    <t>B01001G_019</t>
  </si>
  <si>
    <t>'B01001G_020',</t>
  </si>
  <si>
    <t>B01001G_020</t>
  </si>
  <si>
    <t>'B01001G_021',</t>
  </si>
  <si>
    <t>B01001G_021</t>
  </si>
  <si>
    <t>'B01001G_022',</t>
  </si>
  <si>
    <t>B01001G_022</t>
  </si>
  <si>
    <t>'B01001G_023',</t>
  </si>
  <si>
    <t>B01001G_023</t>
  </si>
  <si>
    <t>'B01001G_024',</t>
  </si>
  <si>
    <t>B01001G_024</t>
  </si>
  <si>
    <t>'B01001G_025',</t>
  </si>
  <si>
    <t>B01001G_025</t>
  </si>
  <si>
    <t>'B01001G_026',</t>
  </si>
  <si>
    <t>B01001G_026</t>
  </si>
  <si>
    <t>'B01001G_027',</t>
  </si>
  <si>
    <t>B01001G_027</t>
  </si>
  <si>
    <t>'B01001G_028',</t>
  </si>
  <si>
    <t>B01001G_028</t>
  </si>
  <si>
    <t>'B01001G_029',</t>
  </si>
  <si>
    <t>B01001G_029</t>
  </si>
  <si>
    <t>'B01001G_030',</t>
  </si>
  <si>
    <t>B01001G_030</t>
  </si>
  <si>
    <t>'B01001G_031',</t>
  </si>
  <si>
    <t>B01001G_031</t>
  </si>
  <si>
    <t>Sex by Age (White Alone, Not Hispanic or Latino)</t>
  </si>
  <si>
    <t>'B01001H_001',</t>
  </si>
  <si>
    <t>B01001H_001</t>
  </si>
  <si>
    <t>'B01001H_002',</t>
  </si>
  <si>
    <t>B01001H_002</t>
  </si>
  <si>
    <t>'B01001H_003',</t>
  </si>
  <si>
    <t>B01001H_003</t>
  </si>
  <si>
    <t>'B01001H_004',</t>
  </si>
  <si>
    <t>B01001H_004</t>
  </si>
  <si>
    <t>'B01001H_005',</t>
  </si>
  <si>
    <t>B01001H_005</t>
  </si>
  <si>
    <t>'B01001H_006',</t>
  </si>
  <si>
    <t>B01001H_006</t>
  </si>
  <si>
    <t>'B01001H_007',</t>
  </si>
  <si>
    <t>B01001H_007</t>
  </si>
  <si>
    <t>'B01001H_008',</t>
  </si>
  <si>
    <t>B01001H_008</t>
  </si>
  <si>
    <t>'B01001H_009',</t>
  </si>
  <si>
    <t>B01001H_009</t>
  </si>
  <si>
    <t>'B01001H_010',</t>
  </si>
  <si>
    <t>B01001H_010</t>
  </si>
  <si>
    <t>'B01001H_011',</t>
  </si>
  <si>
    <t>B01001H_011</t>
  </si>
  <si>
    <t>'B01001H_012',</t>
  </si>
  <si>
    <t>B01001H_012</t>
  </si>
  <si>
    <t>'B01001H_013',</t>
  </si>
  <si>
    <t>B01001H_013</t>
  </si>
  <si>
    <t>'B01001H_014',</t>
  </si>
  <si>
    <t>B01001H_014</t>
  </si>
  <si>
    <t>'B01001H_015',</t>
  </si>
  <si>
    <t>B01001H_015</t>
  </si>
  <si>
    <t>'B01001H_016',</t>
  </si>
  <si>
    <t>B01001H_016</t>
  </si>
  <si>
    <t>'B01001H_017',</t>
  </si>
  <si>
    <t>B01001H_017</t>
  </si>
  <si>
    <t>'B01001H_018',</t>
  </si>
  <si>
    <t>B01001H_018</t>
  </si>
  <si>
    <t>'B01001H_019',</t>
  </si>
  <si>
    <t>B01001H_019</t>
  </si>
  <si>
    <t>'B01001H_020',</t>
  </si>
  <si>
    <t>B01001H_020</t>
  </si>
  <si>
    <t>'B01001H_021',</t>
  </si>
  <si>
    <t>B01001H_021</t>
  </si>
  <si>
    <t>'B01001H_022',</t>
  </si>
  <si>
    <t>B01001H_022</t>
  </si>
  <si>
    <t>'B01001H_023',</t>
  </si>
  <si>
    <t>B01001H_023</t>
  </si>
  <si>
    <t>'B01001H_024',</t>
  </si>
  <si>
    <t>B01001H_024</t>
  </si>
  <si>
    <t>'B01001H_025',</t>
  </si>
  <si>
    <t>B01001H_025</t>
  </si>
  <si>
    <t>'B01001H_026',</t>
  </si>
  <si>
    <t>B01001H_026</t>
  </si>
  <si>
    <t>'B01001H_027',</t>
  </si>
  <si>
    <t>B01001H_027</t>
  </si>
  <si>
    <t>'B01001H_028',</t>
  </si>
  <si>
    <t>B01001H_028</t>
  </si>
  <si>
    <t>'B01001H_029',</t>
  </si>
  <si>
    <t>B01001H_029</t>
  </si>
  <si>
    <t>'B01001H_030',</t>
  </si>
  <si>
    <t>B01001H_030</t>
  </si>
  <si>
    <t>'B01001H_031',</t>
  </si>
  <si>
    <t>B01001H_031</t>
  </si>
  <si>
    <t>Sex by Age (Hispanic or Latino)</t>
  </si>
  <si>
    <t>'B01001I_001',</t>
  </si>
  <si>
    <t>B01001I_001</t>
  </si>
  <si>
    <t>'B01001I_002',</t>
  </si>
  <si>
    <t>B01001I_002</t>
  </si>
  <si>
    <t>'B01001I_003',</t>
  </si>
  <si>
    <t>B01001I_003</t>
  </si>
  <si>
    <t>'B01001I_004',</t>
  </si>
  <si>
    <t>B01001I_004</t>
  </si>
  <si>
    <t>'B01001I_005',</t>
  </si>
  <si>
    <t>B01001I_005</t>
  </si>
  <si>
    <t>'B01001I_006',</t>
  </si>
  <si>
    <t>B01001I_006</t>
  </si>
  <si>
    <t>'B01001I_007',</t>
  </si>
  <si>
    <t>B01001I_007</t>
  </si>
  <si>
    <t>'B01001I_008',</t>
  </si>
  <si>
    <t>B01001I_008</t>
  </si>
  <si>
    <t>'B01001I_009',</t>
  </si>
  <si>
    <t>B01001I_009</t>
  </si>
  <si>
    <t>'B01001I_010',</t>
  </si>
  <si>
    <t>B01001I_010</t>
  </si>
  <si>
    <t>'B01001I_011',</t>
  </si>
  <si>
    <t>B01001I_011</t>
  </si>
  <si>
    <t>'B01001I_012',</t>
  </si>
  <si>
    <t>B01001I_012</t>
  </si>
  <si>
    <t>'B01001I_013',</t>
  </si>
  <si>
    <t>B01001I_013</t>
  </si>
  <si>
    <t>'B01001I_014',</t>
  </si>
  <si>
    <t>B01001I_014</t>
  </si>
  <si>
    <t>'B01001I_015',</t>
  </si>
  <si>
    <t>B01001I_015</t>
  </si>
  <si>
    <t>'B01001I_016',</t>
  </si>
  <si>
    <t>B01001I_016</t>
  </si>
  <si>
    <t>'B01001I_017',</t>
  </si>
  <si>
    <t>B01001I_017</t>
  </si>
  <si>
    <t>'B01001I_018',</t>
  </si>
  <si>
    <t>B01001I_018</t>
  </si>
  <si>
    <t>'B01001I_019',</t>
  </si>
  <si>
    <t>B01001I_019</t>
  </si>
  <si>
    <t>'B01001I_020',</t>
  </si>
  <si>
    <t>B01001I_020</t>
  </si>
  <si>
    <t>'B01001I_021',</t>
  </si>
  <si>
    <t>B01001I_021</t>
  </si>
  <si>
    <t>'B01001I_022',</t>
  </si>
  <si>
    <t>B01001I_022</t>
  </si>
  <si>
    <t>'B01001I_023',</t>
  </si>
  <si>
    <t>B01001I_023</t>
  </si>
  <si>
    <t>'B01001I_024',</t>
  </si>
  <si>
    <t>B01001I_024</t>
  </si>
  <si>
    <t>'B01001I_025',</t>
  </si>
  <si>
    <t>B01001I_025</t>
  </si>
  <si>
    <t>'B01001I_026',</t>
  </si>
  <si>
    <t>B01001I_026</t>
  </si>
  <si>
    <t>'B01001I_027',</t>
  </si>
  <si>
    <t>B01001I_027</t>
  </si>
  <si>
    <t>'B01001I_028',</t>
  </si>
  <si>
    <t>B01001I_028</t>
  </si>
  <si>
    <t>'B01001I_029',</t>
  </si>
  <si>
    <t>B01001I_029</t>
  </si>
  <si>
    <t>'B01001I_030',</t>
  </si>
  <si>
    <t>B01001I_030</t>
  </si>
  <si>
    <t>'B01001I_031',</t>
  </si>
  <si>
    <t>B01001I_031</t>
  </si>
  <si>
    <t>Sex by Age</t>
  </si>
  <si>
    <t>'B01001_001',</t>
  </si>
  <si>
    <t>B01001_001</t>
  </si>
  <si>
    <t>'B01001_002',</t>
  </si>
  <si>
    <t>B01001_002</t>
  </si>
  <si>
    <t>'B01001_003',</t>
  </si>
  <si>
    <t>B01001_003</t>
  </si>
  <si>
    <t>'B01001_004',</t>
  </si>
  <si>
    <t>B01001_004</t>
  </si>
  <si>
    <t>'B01001_005',</t>
  </si>
  <si>
    <t>B01001_005</t>
  </si>
  <si>
    <t>'B01001_006',</t>
  </si>
  <si>
    <t>B01001_006</t>
  </si>
  <si>
    <t>'B01001_007',</t>
  </si>
  <si>
    <t>B01001_007</t>
  </si>
  <si>
    <t>Estimate!!Total:!!Male:!!20 years</t>
  </si>
  <si>
    <t>'B01001_008',</t>
  </si>
  <si>
    <t>B01001_008</t>
  </si>
  <si>
    <t>!!Male:!!20 years</t>
  </si>
  <si>
    <t>Estimate!!Total:!!Male:!!21 years</t>
  </si>
  <si>
    <t>'B01001_009',</t>
  </si>
  <si>
    <t>B01001_009</t>
  </si>
  <si>
    <t>!!Male:!!21 years</t>
  </si>
  <si>
    <t>Estimate!!Total:!!Male:!!22 to 24 years</t>
  </si>
  <si>
    <t>'B01001_010',</t>
  </si>
  <si>
    <t>B01001_010</t>
  </si>
  <si>
    <t>!!Male:!!22 to 24 years</t>
  </si>
  <si>
    <t>'B01001_011',</t>
  </si>
  <si>
    <t>B01001_011</t>
  </si>
  <si>
    <t>'B01001_012',</t>
  </si>
  <si>
    <t>B01001_012</t>
  </si>
  <si>
    <t>Estimate!!Total:!!Male:!!35 to 39 years</t>
  </si>
  <si>
    <t>'B01001_013',</t>
  </si>
  <si>
    <t>B01001_013</t>
  </si>
  <si>
    <t>!!Male:!!35 to 39 years</t>
  </si>
  <si>
    <t>Estimate!!Total:!!Male:!!40 to 44 years</t>
  </si>
  <si>
    <t>'B01001_014',</t>
  </si>
  <si>
    <t>B01001_014</t>
  </si>
  <si>
    <t>!!Male:!!40 to 44 years</t>
  </si>
  <si>
    <t>Estimate!!Total:!!Male:!!45 to 49 years</t>
  </si>
  <si>
    <t>'B01001_015',</t>
  </si>
  <si>
    <t>B01001_015</t>
  </si>
  <si>
    <t>!!Male:!!45 to 49 years</t>
  </si>
  <si>
    <t>Estimate!!Total:!!Male:!!50 to 54 years</t>
  </si>
  <si>
    <t>'B01001_016',</t>
  </si>
  <si>
    <t>B01001_016</t>
  </si>
  <si>
    <t>!!Male:!!50 to 54 years</t>
  </si>
  <si>
    <t>Estimate!!Total:!!Male:!!55 to 59 years</t>
  </si>
  <si>
    <t>'B01001_017',</t>
  </si>
  <si>
    <t>B01001_017</t>
  </si>
  <si>
    <t>!!Male:!!55 to 59 years</t>
  </si>
  <si>
    <t>Estimate!!Total:!!Male:!!60 and 61 years</t>
  </si>
  <si>
    <t>'B01001_018',</t>
  </si>
  <si>
    <t>B01001_018</t>
  </si>
  <si>
    <t>!!Male:!!60 and 61 years</t>
  </si>
  <si>
    <t>Estimate!!Total:!!Male:!!62 to 64 years</t>
  </si>
  <si>
    <t>'B01001_019',</t>
  </si>
  <si>
    <t>B01001_019</t>
  </si>
  <si>
    <t>!!Male:!!62 to 64 years</t>
  </si>
  <si>
    <t>Estimate!!Total:!!Male:!!65 and 66 years</t>
  </si>
  <si>
    <t>'B01001_020',</t>
  </si>
  <si>
    <t>B01001_020</t>
  </si>
  <si>
    <t>!!Male:!!65 and 66 years</t>
  </si>
  <si>
    <t>Estimate!!Total:!!Male:!!67 to 69 years</t>
  </si>
  <si>
    <t>'B01001_021',</t>
  </si>
  <si>
    <t>B01001_021</t>
  </si>
  <si>
    <t>!!Male:!!67 to 69 years</t>
  </si>
  <si>
    <t>Estimate!!Total:!!Male:!!70 to 74 years</t>
  </si>
  <si>
    <t>'B01001_022',</t>
  </si>
  <si>
    <t>B01001_022</t>
  </si>
  <si>
    <t>!!Male:!!70 to 74 years</t>
  </si>
  <si>
    <t>Estimate!!Total:!!Male:!!75 to 79 years</t>
  </si>
  <si>
    <t>'B01001_023',</t>
  </si>
  <si>
    <t>B01001_023</t>
  </si>
  <si>
    <t>!!Male:!!75 to 79 years</t>
  </si>
  <si>
    <t>Estimate!!Total:!!Male:!!80 to 84 years</t>
  </si>
  <si>
    <t>'B01001_024',</t>
  </si>
  <si>
    <t>B01001_024</t>
  </si>
  <si>
    <t>!!Male:!!80 to 84 years</t>
  </si>
  <si>
    <t>'B01001_025',</t>
  </si>
  <si>
    <t>B01001_025</t>
  </si>
  <si>
    <t>'B01001_026',</t>
  </si>
  <si>
    <t>B01001_026</t>
  </si>
  <si>
    <t>'B01001_027',</t>
  </si>
  <si>
    <t>B01001_027</t>
  </si>
  <si>
    <t>'B01001_028',</t>
  </si>
  <si>
    <t>B01001_028</t>
  </si>
  <si>
    <t>'B01001_029',</t>
  </si>
  <si>
    <t>B01001_029</t>
  </si>
  <si>
    <t>'B01001_030',</t>
  </si>
  <si>
    <t>B01001_030</t>
  </si>
  <si>
    <t>'B01001_031',</t>
  </si>
  <si>
    <t>B01001_031</t>
  </si>
  <si>
    <t>Estimate!!Total:!!Female:!!20 years</t>
  </si>
  <si>
    <t>'B01001_032',</t>
  </si>
  <si>
    <t>B01001_032</t>
  </si>
  <si>
    <t>!!Female:!!20 years</t>
  </si>
  <si>
    <t>Estimate!!Total:!!Female:!!21 years</t>
  </si>
  <si>
    <t>'B01001_033',</t>
  </si>
  <si>
    <t>B01001_033</t>
  </si>
  <si>
    <t>!!Female:!!21 years</t>
  </si>
  <si>
    <t>Estimate!!Total:!!Female:!!22 to 24 years</t>
  </si>
  <si>
    <t>'B01001_034',</t>
  </si>
  <si>
    <t>B01001_034</t>
  </si>
  <si>
    <t>!!Female:!!22 to 24 years</t>
  </si>
  <si>
    <t>'B01001_035',</t>
  </si>
  <si>
    <t>B01001_035</t>
  </si>
  <si>
    <t>'B01001_036',</t>
  </si>
  <si>
    <t>B01001_036</t>
  </si>
  <si>
    <t>Estimate!!Total:!!Female:!!35 to 39 years</t>
  </si>
  <si>
    <t>'B01001_037',</t>
  </si>
  <si>
    <t>B01001_037</t>
  </si>
  <si>
    <t>!!Female:!!35 to 39 years</t>
  </si>
  <si>
    <t>Estimate!!Total:!!Female:!!40 to 44 years</t>
  </si>
  <si>
    <t>'B01001_038',</t>
  </si>
  <si>
    <t>B01001_038</t>
  </si>
  <si>
    <t>!!Female:!!40 to 44 years</t>
  </si>
  <si>
    <t>Estimate!!Total:!!Female:!!45 to 49 years</t>
  </si>
  <si>
    <t>'B01001_039',</t>
  </si>
  <si>
    <t>B01001_039</t>
  </si>
  <si>
    <t>!!Female:!!45 to 49 years</t>
  </si>
  <si>
    <t>Estimate!!Total:!!Female:!!50 to 54 years</t>
  </si>
  <si>
    <t>'B01001_040',</t>
  </si>
  <si>
    <t>B01001_040</t>
  </si>
  <si>
    <t>!!Female:!!50 to 54 years</t>
  </si>
  <si>
    <t>Estimate!!Total:!!Female:!!55 to 59 years</t>
  </si>
  <si>
    <t>'B01001_041',</t>
  </si>
  <si>
    <t>B01001_041</t>
  </si>
  <si>
    <t>!!Female:!!55 to 59 years</t>
  </si>
  <si>
    <t>Estimate!!Total:!!Female:!!60 and 61 years</t>
  </si>
  <si>
    <t>'B01001_042',</t>
  </si>
  <si>
    <t>B01001_042</t>
  </si>
  <si>
    <t>!!Female:!!60 and 61 years</t>
  </si>
  <si>
    <t>Estimate!!Total:!!Female:!!62 to 64 years</t>
  </si>
  <si>
    <t>'B01001_043',</t>
  </si>
  <si>
    <t>B01001_043</t>
  </si>
  <si>
    <t>!!Female:!!62 to 64 years</t>
  </si>
  <si>
    <t>Estimate!!Total:!!Female:!!65 and 66 years</t>
  </si>
  <si>
    <t>'B01001_044',</t>
  </si>
  <si>
    <t>B01001_044</t>
  </si>
  <si>
    <t>!!Female:!!65 and 66 years</t>
  </si>
  <si>
    <t>Estimate!!Total:!!Female:!!67 to 69 years</t>
  </si>
  <si>
    <t>'B01001_045',</t>
  </si>
  <si>
    <t>B01001_045</t>
  </si>
  <si>
    <t>!!Female:!!67 to 69 years</t>
  </si>
  <si>
    <t>Estimate!!Total:!!Female:!!70 to 74 years</t>
  </si>
  <si>
    <t>'B01001_046',</t>
  </si>
  <si>
    <t>B01001_046</t>
  </si>
  <si>
    <t>!!Female:!!70 to 74 years</t>
  </si>
  <si>
    <t>Estimate!!Total:!!Female:!!75 to 79 years</t>
  </si>
  <si>
    <t>'B01001_047',</t>
  </si>
  <si>
    <t>B01001_047</t>
  </si>
  <si>
    <t>!!Female:!!75 to 79 years</t>
  </si>
  <si>
    <t>Estimate!!Total:!!Female:!!80 to 84 years</t>
  </si>
  <si>
    <t>'B01001_048',</t>
  </si>
  <si>
    <t>B01001_048</t>
  </si>
  <si>
    <t>!!Female:!!80 to 84 years</t>
  </si>
  <si>
    <t>'B01001_049',</t>
  </si>
  <si>
    <t>B01001_049</t>
  </si>
  <si>
    <t>Median Age by Sex (White Alone)</t>
  </si>
  <si>
    <t>Estimate!!Median age --!!Total:</t>
  </si>
  <si>
    <t>'B01002A_001',</t>
  </si>
  <si>
    <t>B01002A_001</t>
  </si>
  <si>
    <t xml:space="preserve"> age --!!Total:</t>
  </si>
  <si>
    <t>Estimate!!Median age --!!Male</t>
  </si>
  <si>
    <t>'B01002A_002',</t>
  </si>
  <si>
    <t>B01002A_002</t>
  </si>
  <si>
    <t xml:space="preserve"> age --!!Male</t>
  </si>
  <si>
    <t>Estimate!!Median age --!!Female</t>
  </si>
  <si>
    <t>'B01002A_003',</t>
  </si>
  <si>
    <t>B01002A_003</t>
  </si>
  <si>
    <t xml:space="preserve"> age --!!Female</t>
  </si>
  <si>
    <t>Median Age by Sex (Black or African American Alone)</t>
  </si>
  <si>
    <t>'B01002B_001',</t>
  </si>
  <si>
    <t>B01002B_001</t>
  </si>
  <si>
    <t>'B01002B_002',</t>
  </si>
  <si>
    <t>B01002B_002</t>
  </si>
  <si>
    <t>'B01002B_003',</t>
  </si>
  <si>
    <t>B01002B_003</t>
  </si>
  <si>
    <t>Median Age by Sex (American Indian and Alaska Native Alone)</t>
  </si>
  <si>
    <t>'B01002C_001',</t>
  </si>
  <si>
    <t>B01002C_001</t>
  </si>
  <si>
    <t>'B01002C_002',</t>
  </si>
  <si>
    <t>B01002C_002</t>
  </si>
  <si>
    <t>'B01002C_003',</t>
  </si>
  <si>
    <t>B01002C_003</t>
  </si>
  <si>
    <t>Median Age by Sex (Asian Alone)</t>
  </si>
  <si>
    <t>'B01002D_001',</t>
  </si>
  <si>
    <t>B01002D_001</t>
  </si>
  <si>
    <t>'B01002D_002',</t>
  </si>
  <si>
    <t>B01002D_002</t>
  </si>
  <si>
    <t>'B01002D_003',</t>
  </si>
  <si>
    <t>B01002D_003</t>
  </si>
  <si>
    <t>Median Age by Sex (Native Hawaiian and Other Pacific Islander Alone)</t>
  </si>
  <si>
    <t>'B01002E_001',</t>
  </si>
  <si>
    <t>B01002E_001</t>
  </si>
  <si>
    <t>'B01002E_002',</t>
  </si>
  <si>
    <t>B01002E_002</t>
  </si>
  <si>
    <t>'B01002E_003',</t>
  </si>
  <si>
    <t>B01002E_003</t>
  </si>
  <si>
    <t>Median Age by Sex (Some Other Race Alone)</t>
  </si>
  <si>
    <t>'B01002F_001',</t>
  </si>
  <si>
    <t>B01002F_001</t>
  </si>
  <si>
    <t>'B01002F_002',</t>
  </si>
  <si>
    <t>B01002F_002</t>
  </si>
  <si>
    <t>'B01002F_003',</t>
  </si>
  <si>
    <t>B01002F_003</t>
  </si>
  <si>
    <t>Median Age by Sex (Two or More Races)</t>
  </si>
  <si>
    <t>'B01002G_001',</t>
  </si>
  <si>
    <t>B01002G_001</t>
  </si>
  <si>
    <t>'B01002G_002',</t>
  </si>
  <si>
    <t>B01002G_002</t>
  </si>
  <si>
    <t>'B01002G_003',</t>
  </si>
  <si>
    <t>B01002G_003</t>
  </si>
  <si>
    <t>Median Age by Sex (White Alone, Not Hispanic or Latino)</t>
  </si>
  <si>
    <t>'B01002H_001',</t>
  </si>
  <si>
    <t>B01002H_001</t>
  </si>
  <si>
    <t>'B01002H_002',</t>
  </si>
  <si>
    <t>B01002H_002</t>
  </si>
  <si>
    <t>'B01002H_003',</t>
  </si>
  <si>
    <t>B01002H_003</t>
  </si>
  <si>
    <t>Median Age by Sex (Hispanic or Latino)</t>
  </si>
  <si>
    <t>'B01002I_001',</t>
  </si>
  <si>
    <t>B01002I_001</t>
  </si>
  <si>
    <t>'B01002I_002',</t>
  </si>
  <si>
    <t>B01002I_002</t>
  </si>
  <si>
    <t>'B01002I_003',</t>
  </si>
  <si>
    <t>B01002I_003</t>
  </si>
  <si>
    <t>Median Age by Sex</t>
  </si>
  <si>
    <t>'B01002_001',</t>
  </si>
  <si>
    <t>B01002_001</t>
  </si>
  <si>
    <t>'B01002_002',</t>
  </si>
  <si>
    <t>B01002_002</t>
  </si>
  <si>
    <t>'B01002_003',</t>
  </si>
  <si>
    <t>B01002_003</t>
  </si>
  <si>
    <t>Total Population</t>
  </si>
  <si>
    <t>Estimate!!Total</t>
  </si>
  <si>
    <t>'B01003_001',</t>
  </si>
  <si>
    <t>B01003_001</t>
  </si>
  <si>
    <t>Race</t>
  </si>
  <si>
    <t>'B02001_001',</t>
  </si>
  <si>
    <t>B02001_001</t>
  </si>
  <si>
    <t>Estimate!!Total:!!White alone</t>
  </si>
  <si>
    <t>'B02001_002',</t>
  </si>
  <si>
    <t>B02001_002</t>
  </si>
  <si>
    <t>!!White alone</t>
  </si>
  <si>
    <t>Estimate!!Total:!!Black or African American alone</t>
  </si>
  <si>
    <t>'B02001_003',</t>
  </si>
  <si>
    <t>B02001_003</t>
  </si>
  <si>
    <t>!!Black or African American alone</t>
  </si>
  <si>
    <t>Estimate!!Total:!!American Indian and Alaska Native alone</t>
  </si>
  <si>
    <t>'B02001_004',</t>
  </si>
  <si>
    <t>B02001_004</t>
  </si>
  <si>
    <t>!!American Indian and Alaska Native alone</t>
  </si>
  <si>
    <t>Estimate!!Total:!!Asian alone</t>
  </si>
  <si>
    <t>'B02001_005',</t>
  </si>
  <si>
    <t>B02001_005</t>
  </si>
  <si>
    <t>!!Asian alone</t>
  </si>
  <si>
    <t>Estimate!!Total:!!Native Hawaiian and Other Pacific Islander alone</t>
  </si>
  <si>
    <t>'B02001_006',</t>
  </si>
  <si>
    <t>B02001_006</t>
  </si>
  <si>
    <t>!!Native Hawaiian and Other Pacific Islander alone</t>
  </si>
  <si>
    <t>Estimate!!Total:!!Some Other Race alone</t>
  </si>
  <si>
    <t>'B02001_007',</t>
  </si>
  <si>
    <t>B02001_007</t>
  </si>
  <si>
    <t>!!Some Other Race alone</t>
  </si>
  <si>
    <t>Estimate!!Total:!!Two or More Races:</t>
  </si>
  <si>
    <t>'B02001_008',</t>
  </si>
  <si>
    <t>B02001_008</t>
  </si>
  <si>
    <t>!!Two or More Races:</t>
  </si>
  <si>
    <t>Estimate!!Total:!!Two or More Races:!!Two races including Some Other Race</t>
  </si>
  <si>
    <t>'B02001_009',</t>
  </si>
  <si>
    <t>B02001_009</t>
  </si>
  <si>
    <t>!!Two or More Races:!!Two races including Some Other Race</t>
  </si>
  <si>
    <t>Estimate!!Total:!!Two or More Races:!!Two races excluding Some Other Race, and three or more races</t>
  </si>
  <si>
    <t>'B02001_010',</t>
  </si>
  <si>
    <t>B02001_010</t>
  </si>
  <si>
    <t>!!Two or More Races:!!Two races excluding Some Other Race, and three or more races</t>
  </si>
  <si>
    <t>state</t>
  </si>
  <si>
    <t>Language Spoken at Home by Ability to Speak English for the Population 5 Years and Over</t>
  </si>
  <si>
    <t>'B16001_001',</t>
  </si>
  <si>
    <t>B16001_001</t>
  </si>
  <si>
    <t>Estimate!!Total:!!Speak only English</t>
  </si>
  <si>
    <t>'B16001_002',</t>
  </si>
  <si>
    <t>B16001_002</t>
  </si>
  <si>
    <t>!!Speak only English</t>
  </si>
  <si>
    <t>Estimate!!Total:!!Spanish:</t>
  </si>
  <si>
    <t>'B16001_003',</t>
  </si>
  <si>
    <t>B16001_003</t>
  </si>
  <si>
    <t>!!Spanish:</t>
  </si>
  <si>
    <t>Estimate!!Total:!!Spanish:!!Speak English "very well"</t>
  </si>
  <si>
    <t>'B16001_004',</t>
  </si>
  <si>
    <t>B16001_004</t>
  </si>
  <si>
    <t>!!Spanish:!!Speak English "very well"</t>
  </si>
  <si>
    <t>Estimate!!Total:!!Spanish:!!Speak English less than "very well"</t>
  </si>
  <si>
    <t>'B16001_005',</t>
  </si>
  <si>
    <t>B16001_005</t>
  </si>
  <si>
    <t>!!Spanish:!!Speak English less than "very well"</t>
  </si>
  <si>
    <t>Estimate!!Total:!!French (incl. Cajun):</t>
  </si>
  <si>
    <t>'B16001_006',</t>
  </si>
  <si>
    <t>B16001_006</t>
  </si>
  <si>
    <t>!!French (incl. Cajun):</t>
  </si>
  <si>
    <t>Estimate!!Total:!!French (incl. Cajun):!!Speak English "very well"</t>
  </si>
  <si>
    <t>'B16001_007',</t>
  </si>
  <si>
    <t>B16001_007</t>
  </si>
  <si>
    <t>!!French (incl. Cajun):!!Speak English "very well"</t>
  </si>
  <si>
    <t>Estimate!!Total:!!French (incl. Cajun):!!Speak English less than "very well"</t>
  </si>
  <si>
    <t>'B16001_008',</t>
  </si>
  <si>
    <t>B16001_008</t>
  </si>
  <si>
    <t>!!French (incl. Cajun):!!Speak English less than "very well"</t>
  </si>
  <si>
    <t>Estimate!!Total:!!Haitian:</t>
  </si>
  <si>
    <t>'B16001_009',</t>
  </si>
  <si>
    <t>B16001_009</t>
  </si>
  <si>
    <t>!!Haitian:</t>
  </si>
  <si>
    <t>Estimate!!Total:!!Haitian:!!Speak English "very well"</t>
  </si>
  <si>
    <t>'B16001_010',</t>
  </si>
  <si>
    <t>B16001_010</t>
  </si>
  <si>
    <t>!!Haitian:!!Speak English "very well"</t>
  </si>
  <si>
    <t>Estimate!!Total:!!Haitian:!!Speak English less than "very well"</t>
  </si>
  <si>
    <t>'B16001_011',</t>
  </si>
  <si>
    <t>B16001_011</t>
  </si>
  <si>
    <t>!!Haitian:!!Speak English less than "very well"</t>
  </si>
  <si>
    <t>Estimate!!Total:!!Italian:</t>
  </si>
  <si>
    <t>'B16001_012',</t>
  </si>
  <si>
    <t>B16001_012</t>
  </si>
  <si>
    <t>!!Italian:</t>
  </si>
  <si>
    <t>Estimate!!Total:!!Italian:!!Speak English "very well"</t>
  </si>
  <si>
    <t>'B16001_013',</t>
  </si>
  <si>
    <t>B16001_013</t>
  </si>
  <si>
    <t>!!Italian:!!Speak English "very well"</t>
  </si>
  <si>
    <t>Estimate!!Total:!!Italian:!!Speak English less than "very well"</t>
  </si>
  <si>
    <t>'B16001_014',</t>
  </si>
  <si>
    <t>B16001_014</t>
  </si>
  <si>
    <t>!!Italian:!!Speak English less than "very well"</t>
  </si>
  <si>
    <t>Estimate!!Total:!!Portuguese:</t>
  </si>
  <si>
    <t>'B16001_015',</t>
  </si>
  <si>
    <t>B16001_015</t>
  </si>
  <si>
    <t>!!Portuguese:</t>
  </si>
  <si>
    <t>Estimate!!Total:!!Portuguese:!!Speak English "very well"</t>
  </si>
  <si>
    <t>'B16001_016',</t>
  </si>
  <si>
    <t>B16001_016</t>
  </si>
  <si>
    <t>!!Portuguese:!!Speak English "very well"</t>
  </si>
  <si>
    <t>Estimate!!Total:!!Portuguese:!!Speak English less than "very well"</t>
  </si>
  <si>
    <t>'B16001_017',</t>
  </si>
  <si>
    <t>B16001_017</t>
  </si>
  <si>
    <t>!!Portuguese:!!Speak English less than "very well"</t>
  </si>
  <si>
    <t>Estimate!!Total:!!German:</t>
  </si>
  <si>
    <t>'B16001_018',</t>
  </si>
  <si>
    <t>B16001_018</t>
  </si>
  <si>
    <t>!!German:</t>
  </si>
  <si>
    <t>Estimate!!Total:!!German:!!Speak English "very well"</t>
  </si>
  <si>
    <t>'B16001_019',</t>
  </si>
  <si>
    <t>B16001_019</t>
  </si>
  <si>
    <t>!!German:!!Speak English "very well"</t>
  </si>
  <si>
    <t>Estimate!!Total:!!German:!!Speak English less than "very well"</t>
  </si>
  <si>
    <t>'B16001_020',</t>
  </si>
  <si>
    <t>B16001_020</t>
  </si>
  <si>
    <t>!!German:!!Speak English less than "very well"</t>
  </si>
  <si>
    <t>Estimate!!Total:!!Yiddish, Pennsylvania Dutch or other West Germanic languages:</t>
  </si>
  <si>
    <t>'B16001_021',</t>
  </si>
  <si>
    <t>B16001_021</t>
  </si>
  <si>
    <t>!!Yiddish, Pennsylvania Dutch or other West Germanic languages:</t>
  </si>
  <si>
    <t>Estimate!!Total:!!Yiddish, Pennsylvania Dutch or other West Germanic languages:!!Speak English "very well"</t>
  </si>
  <si>
    <t>'B16001_022',</t>
  </si>
  <si>
    <t>B16001_022</t>
  </si>
  <si>
    <t>!!Yiddish, Pennsylvania Dutch or other West Germanic languages:!!Speak English "very well"</t>
  </si>
  <si>
    <t>Estimate!!Total:!!Yiddish, Pennsylvania Dutch or other West Germanic languages:!!Speak English less than "very well"</t>
  </si>
  <si>
    <t>'B16001_023',</t>
  </si>
  <si>
    <t>B16001_023</t>
  </si>
  <si>
    <t>!!Yiddish, Pennsylvania Dutch or other West Germanic languages:!!Speak English less than "very well"</t>
  </si>
  <si>
    <t>Estimate!!Total:!!Greek:</t>
  </si>
  <si>
    <t>'B16001_024',</t>
  </si>
  <si>
    <t>B16001_024</t>
  </si>
  <si>
    <t>!!Greek:</t>
  </si>
  <si>
    <t>Estimate!!Total:!!Greek:!!Speak English "very well"</t>
  </si>
  <si>
    <t>'B16001_025',</t>
  </si>
  <si>
    <t>B16001_025</t>
  </si>
  <si>
    <t>!!Greek:!!Speak English "very well"</t>
  </si>
  <si>
    <t>Estimate!!Total:!!Greek:!!Speak English less than "very well"</t>
  </si>
  <si>
    <t>'B16001_026',</t>
  </si>
  <si>
    <t>B16001_026</t>
  </si>
  <si>
    <t>!!Greek:!!Speak English less than "very well"</t>
  </si>
  <si>
    <t>Estimate!!Total:!!Russian:</t>
  </si>
  <si>
    <t>'B16001_027',</t>
  </si>
  <si>
    <t>B16001_027</t>
  </si>
  <si>
    <t>!!Russian:</t>
  </si>
  <si>
    <t>Estimate!!Total:!!Russian:!!Speak English "very well"</t>
  </si>
  <si>
    <t>'B16001_028',</t>
  </si>
  <si>
    <t>B16001_028</t>
  </si>
  <si>
    <t>!!Russian:!!Speak English "very well"</t>
  </si>
  <si>
    <t>Estimate!!Total:!!Russian:!!Speak English less than "very well"</t>
  </si>
  <si>
    <t>'B16001_029',</t>
  </si>
  <si>
    <t>B16001_029</t>
  </si>
  <si>
    <t>!!Russian:!!Speak English less than "very well"</t>
  </si>
  <si>
    <t>Estimate!!Total:!!Polish:</t>
  </si>
  <si>
    <t>'B16001_030',</t>
  </si>
  <si>
    <t>B16001_030</t>
  </si>
  <si>
    <t>!!Polish:</t>
  </si>
  <si>
    <t>Estimate!!Total:!!Polish:!!Speak English "very well"</t>
  </si>
  <si>
    <t>'B16001_031',</t>
  </si>
  <si>
    <t>B16001_031</t>
  </si>
  <si>
    <t>!!Polish:!!Speak English "very well"</t>
  </si>
  <si>
    <t>Estimate!!Total:!!Polish:!!Speak English less than "very well"</t>
  </si>
  <si>
    <t>'B16001_032',</t>
  </si>
  <si>
    <t>B16001_032</t>
  </si>
  <si>
    <t>!!Polish:!!Speak English less than "very well"</t>
  </si>
  <si>
    <t>Estimate!!Total:!!Serbo-Croatian:</t>
  </si>
  <si>
    <t>'B16001_033',</t>
  </si>
  <si>
    <t>B16001_033</t>
  </si>
  <si>
    <t>!!Serbo-Croatian:</t>
  </si>
  <si>
    <t>Estimate!!Total:!!Serbo-Croatian:!!Speak English "very well"</t>
  </si>
  <si>
    <t>'B16001_034',</t>
  </si>
  <si>
    <t>B16001_034</t>
  </si>
  <si>
    <t>!!Serbo-Croatian:!!Speak English "very well"</t>
  </si>
  <si>
    <t>Estimate!!Total:!!Serbo-Croatian:!!Speak English less than "very well"</t>
  </si>
  <si>
    <t>'B16001_035',</t>
  </si>
  <si>
    <t>B16001_035</t>
  </si>
  <si>
    <t>!!Serbo-Croatian:!!Speak English less than "very well"</t>
  </si>
  <si>
    <t>Estimate!!Total:!!Ukrainian or other Slavic languages:</t>
  </si>
  <si>
    <t>'B16001_036',</t>
  </si>
  <si>
    <t>B16001_036</t>
  </si>
  <si>
    <t>!!Ukrainian or other Slavic languages:</t>
  </si>
  <si>
    <t>Estimate!!Total:!!Ukrainian or other Slavic languages:!!Speak English "very well"</t>
  </si>
  <si>
    <t>'B16001_037',</t>
  </si>
  <si>
    <t>B16001_037</t>
  </si>
  <si>
    <t>!!Ukrainian or other Slavic languages:!!Speak English "very well"</t>
  </si>
  <si>
    <t>Estimate!!Total:!!Ukrainian or other Slavic languages:!!Speak English less than "very well"</t>
  </si>
  <si>
    <t>'B16001_038',</t>
  </si>
  <si>
    <t>B16001_038</t>
  </si>
  <si>
    <t>!!Ukrainian or other Slavic languages:!!Speak English less than "very well"</t>
  </si>
  <si>
    <t>Estimate!!Total:!!Armenian:</t>
  </si>
  <si>
    <t>'B16001_039',</t>
  </si>
  <si>
    <t>B16001_039</t>
  </si>
  <si>
    <t>!!Armenian:</t>
  </si>
  <si>
    <t>Estimate!!Total:!!Armenian:!!Speak English "very well"</t>
  </si>
  <si>
    <t>'B16001_040',</t>
  </si>
  <si>
    <t>B16001_040</t>
  </si>
  <si>
    <t>!!Armenian:!!Speak English "very well"</t>
  </si>
  <si>
    <t>Estimate!!Total:!!Armenian:!!Speak English less than "very well"</t>
  </si>
  <si>
    <t>'B16001_041',</t>
  </si>
  <si>
    <t>B16001_041</t>
  </si>
  <si>
    <t>!!Armenian:!!Speak English less than "very well"</t>
  </si>
  <si>
    <t>Estimate!!Total:!!Persian (incl. Farsi, Dari):</t>
  </si>
  <si>
    <t>'B16001_042',</t>
  </si>
  <si>
    <t>B16001_042</t>
  </si>
  <si>
    <t>!!Persian (incl. Farsi, Dari):</t>
  </si>
  <si>
    <t>Estimate!!Total:!!Persian (incl. Farsi, Dari):!!Speak English "very well"</t>
  </si>
  <si>
    <t>'B16001_043',</t>
  </si>
  <si>
    <t>B16001_043</t>
  </si>
  <si>
    <t>!!Persian (incl. Farsi, Dari):!!Speak English "very well"</t>
  </si>
  <si>
    <t>Estimate!!Total:!!Persian (incl. Farsi, Dari):!!Speak English less than "very well"</t>
  </si>
  <si>
    <t>'B16001_044',</t>
  </si>
  <si>
    <t>B16001_044</t>
  </si>
  <si>
    <t>!!Persian (incl. Farsi, Dari):!!Speak English less than "very well"</t>
  </si>
  <si>
    <t>Estimate!!Total:!!Gujarati:</t>
  </si>
  <si>
    <t>'B16001_045',</t>
  </si>
  <si>
    <t>B16001_045</t>
  </si>
  <si>
    <t>!!Gujarati:</t>
  </si>
  <si>
    <t>Estimate!!Total:!!Gujarati:!!Speak English "very well"</t>
  </si>
  <si>
    <t>'B16001_046',</t>
  </si>
  <si>
    <t>B16001_046</t>
  </si>
  <si>
    <t>!!Gujarati:!!Speak English "very well"</t>
  </si>
  <si>
    <t>Estimate!!Total:!!Gujarati:!!Speak English less than "very well"</t>
  </si>
  <si>
    <t>'B16001_047',</t>
  </si>
  <si>
    <t>B16001_047</t>
  </si>
  <si>
    <t>!!Gujarati:!!Speak English less than "very well"</t>
  </si>
  <si>
    <t>Estimate!!Total:!!Hindi:</t>
  </si>
  <si>
    <t>'B16001_048',</t>
  </si>
  <si>
    <t>B16001_048</t>
  </si>
  <si>
    <t>!!Hindi:</t>
  </si>
  <si>
    <t>Estimate!!Total:!!Hindi:!!Speak English "very well"</t>
  </si>
  <si>
    <t>'B16001_049',</t>
  </si>
  <si>
    <t>B16001_049</t>
  </si>
  <si>
    <t>!!Hindi:!!Speak English "very well"</t>
  </si>
  <si>
    <t>Estimate!!Total:!!Hindi:!!Speak English less than "very well"</t>
  </si>
  <si>
    <t>'B16001_050',</t>
  </si>
  <si>
    <t>B16001_050</t>
  </si>
  <si>
    <t>!!Hindi:!!Speak English less than "very well"</t>
  </si>
  <si>
    <t>Estimate!!Total:!!Urdu:</t>
  </si>
  <si>
    <t>'B16001_051',</t>
  </si>
  <si>
    <t>B16001_051</t>
  </si>
  <si>
    <t>!!Urdu:</t>
  </si>
  <si>
    <t>Estimate!!Total:!!Urdu:!!Speak English "very well"</t>
  </si>
  <si>
    <t>'B16001_052',</t>
  </si>
  <si>
    <t>B16001_052</t>
  </si>
  <si>
    <t>!!Urdu:!!Speak English "very well"</t>
  </si>
  <si>
    <t>Estimate!!Total:!!Urdu:!!Speak English less than "very well"</t>
  </si>
  <si>
    <t>'B16001_053',</t>
  </si>
  <si>
    <t>B16001_053</t>
  </si>
  <si>
    <t>!!Urdu:!!Speak English less than "very well"</t>
  </si>
  <si>
    <t>Estimate!!Total:!!Punjabi:</t>
  </si>
  <si>
    <t>'B16001_054',</t>
  </si>
  <si>
    <t>B16001_054</t>
  </si>
  <si>
    <t>!!Punjabi:</t>
  </si>
  <si>
    <t>Estimate!!Total:!!Punjabi:!!Speak English "very well"</t>
  </si>
  <si>
    <t>'B16001_055',</t>
  </si>
  <si>
    <t>B16001_055</t>
  </si>
  <si>
    <t>!!Punjabi:!!Speak English "very well"</t>
  </si>
  <si>
    <t>Estimate!!Total:!!Punjabi:!!Speak English less than "very well"</t>
  </si>
  <si>
    <t>'B16001_056',</t>
  </si>
  <si>
    <t>B16001_056</t>
  </si>
  <si>
    <t>!!Punjabi:!!Speak English less than "very well"</t>
  </si>
  <si>
    <t>Estimate!!Total:!!Bengali:</t>
  </si>
  <si>
    <t>'B16001_057',</t>
  </si>
  <si>
    <t>B16001_057</t>
  </si>
  <si>
    <t>!!Bengali:</t>
  </si>
  <si>
    <t>Estimate!!Total:!!Bengali:!!Speak English "very well"</t>
  </si>
  <si>
    <t>'B16001_058',</t>
  </si>
  <si>
    <t>B16001_058</t>
  </si>
  <si>
    <t>!!Bengali:!!Speak English "very well"</t>
  </si>
  <si>
    <t>Estimate!!Total:!!Bengali:!!Speak English less than "very well"</t>
  </si>
  <si>
    <t>'B16001_059',</t>
  </si>
  <si>
    <t>B16001_059</t>
  </si>
  <si>
    <t>!!Bengali:!!Speak English less than "very well"</t>
  </si>
  <si>
    <t>Estimate!!Total:!!Nepali, Marathi, or other Indic languages:</t>
  </si>
  <si>
    <t>'B16001_060',</t>
  </si>
  <si>
    <t>B16001_060</t>
  </si>
  <si>
    <t>!!Nepali, Marathi, or other Indic languages:</t>
  </si>
  <si>
    <t>Estimate!!Total:!!Nepali, Marathi, or other Indic languages:!!Speak English "very well"</t>
  </si>
  <si>
    <t>'B16001_061',</t>
  </si>
  <si>
    <t>B16001_061</t>
  </si>
  <si>
    <t>!!Nepali, Marathi, or other Indic languages:!!Speak English "very well"</t>
  </si>
  <si>
    <t>Estimate!!Total:!!Nepali, Marathi, or other Indic languages:!!Speak English less than "very well"</t>
  </si>
  <si>
    <t>'B16001_062',</t>
  </si>
  <si>
    <t>B16001_062</t>
  </si>
  <si>
    <t>!!Nepali, Marathi, or other Indic languages:!!Speak English less than "very well"</t>
  </si>
  <si>
    <t>Estimate!!Total:!!Other Indo-European languages:</t>
  </si>
  <si>
    <t>'B16001_063',</t>
  </si>
  <si>
    <t>B16001_063</t>
  </si>
  <si>
    <t>!!Other Indo-European languages:</t>
  </si>
  <si>
    <t>Estimate!!Total:!!Other Indo-European languages:!!Speak English "very well"</t>
  </si>
  <si>
    <t>'B16001_064',</t>
  </si>
  <si>
    <t>B16001_064</t>
  </si>
  <si>
    <t>!!Other Indo-European languages:!!Speak English "very well"</t>
  </si>
  <si>
    <t>Estimate!!Total:!!Other Indo-European languages:!!Speak English less than "very well"</t>
  </si>
  <si>
    <t>'B16001_065',</t>
  </si>
  <si>
    <t>B16001_065</t>
  </si>
  <si>
    <t>!!Other Indo-European languages:!!Speak English less than "very well"</t>
  </si>
  <si>
    <t>Estimate!!Total:!!Telugu:</t>
  </si>
  <si>
    <t>'B16001_066',</t>
  </si>
  <si>
    <t>B16001_066</t>
  </si>
  <si>
    <t>!!Telugu:</t>
  </si>
  <si>
    <t>Estimate!!Total:!!Telugu:!!Speak English "very well"</t>
  </si>
  <si>
    <t>'B16001_067',</t>
  </si>
  <si>
    <t>B16001_067</t>
  </si>
  <si>
    <t>!!Telugu:!!Speak English "very well"</t>
  </si>
  <si>
    <t>Estimate!!Total:!!Telugu:!!Speak English less than "very well"</t>
  </si>
  <si>
    <t>'B16001_068',</t>
  </si>
  <si>
    <t>B16001_068</t>
  </si>
  <si>
    <t>!!Telugu:!!Speak English less than "very well"</t>
  </si>
  <si>
    <t>Estimate!!Total:!!Tamil:</t>
  </si>
  <si>
    <t>'B16001_069',</t>
  </si>
  <si>
    <t>B16001_069</t>
  </si>
  <si>
    <t>!!Tamil:</t>
  </si>
  <si>
    <t>Estimate!!Total:!!Tamil:!!Speak English "very well"</t>
  </si>
  <si>
    <t>'B16001_070',</t>
  </si>
  <si>
    <t>B16001_070</t>
  </si>
  <si>
    <t>!!Tamil:!!Speak English "very well"</t>
  </si>
  <si>
    <t>Estimate!!Total:!!Tamil:!!Speak English less than "very well"</t>
  </si>
  <si>
    <t>'B16001_071',</t>
  </si>
  <si>
    <t>B16001_071</t>
  </si>
  <si>
    <t>!!Tamil:!!Speak English less than "very well"</t>
  </si>
  <si>
    <t>Estimate!!Total:!!Malayalam, Kannada, or other Dravidian languages:</t>
  </si>
  <si>
    <t>'B16001_072',</t>
  </si>
  <si>
    <t>B16001_072</t>
  </si>
  <si>
    <t>!!Malayalam, Kannada, or other Dravidian languages:</t>
  </si>
  <si>
    <t>Estimate!!Total:!!Malayalam, Kannada, or other Dravidian languages:!!Speak English "very well"</t>
  </si>
  <si>
    <t>'B16001_073',</t>
  </si>
  <si>
    <t>B16001_073</t>
  </si>
  <si>
    <t>!!Malayalam, Kannada, or other Dravidian languages:!!Speak English "very well"</t>
  </si>
  <si>
    <t>Estimate!!Total:!!Malayalam, Kannada, or other Dravidian languages:!!Speak English less than "very well"</t>
  </si>
  <si>
    <t>'B16001_074',</t>
  </si>
  <si>
    <t>B16001_074</t>
  </si>
  <si>
    <t>!!Malayalam, Kannada, or other Dravidian languages:!!Speak English less than "very well"</t>
  </si>
  <si>
    <t>Estimate!!Total:!!Chinese (incl. Mandarin, Cantonese):</t>
  </si>
  <si>
    <t>'B16001_075',</t>
  </si>
  <si>
    <t>B16001_075</t>
  </si>
  <si>
    <t>!!Chinese (incl. Mandarin, Cantonese):</t>
  </si>
  <si>
    <t>Estimate!!Total:!!Chinese (incl. Mandarin, Cantonese):!!Speak English "very well"</t>
  </si>
  <si>
    <t>'B16001_076',</t>
  </si>
  <si>
    <t>B16001_076</t>
  </si>
  <si>
    <t>!!Chinese (incl. Mandarin, Cantonese):!!Speak English "very well"</t>
  </si>
  <si>
    <t>Estimate!!Total:!!Chinese (incl. Mandarin, Cantonese):!!Speak English less than "very well"</t>
  </si>
  <si>
    <t>'B16001_077',</t>
  </si>
  <si>
    <t>B16001_077</t>
  </si>
  <si>
    <t>!!Chinese (incl. Mandarin, Cantonese):!!Speak English less than "very well"</t>
  </si>
  <si>
    <t>Estimate!!Total:!!Japanese:</t>
  </si>
  <si>
    <t>'B16001_078',</t>
  </si>
  <si>
    <t>B16001_078</t>
  </si>
  <si>
    <t>!!Japanese:</t>
  </si>
  <si>
    <t>Estimate!!Total:!!Japanese:!!Speak English "very well"</t>
  </si>
  <si>
    <t>'B16001_079',</t>
  </si>
  <si>
    <t>B16001_079</t>
  </si>
  <si>
    <t>!!Japanese:!!Speak English "very well"</t>
  </si>
  <si>
    <t>Estimate!!Total:!!Japanese:!!Speak English less than "very well"</t>
  </si>
  <si>
    <t>'B16001_080',</t>
  </si>
  <si>
    <t>B16001_080</t>
  </si>
  <si>
    <t>!!Japanese:!!Speak English less than "very well"</t>
  </si>
  <si>
    <t>Estimate!!Total:!!Korean:</t>
  </si>
  <si>
    <t>'B16001_081',</t>
  </si>
  <si>
    <t>B16001_081</t>
  </si>
  <si>
    <t>!!Korean:</t>
  </si>
  <si>
    <t>Estimate!!Total:!!Korean:!!Speak English "very well"</t>
  </si>
  <si>
    <t>'B16001_082',</t>
  </si>
  <si>
    <t>B16001_082</t>
  </si>
  <si>
    <t>!!Korean:!!Speak English "very well"</t>
  </si>
  <si>
    <t>Estimate!!Total:!!Korean:!!Speak English less than "very well"</t>
  </si>
  <si>
    <t>'B16001_083',</t>
  </si>
  <si>
    <t>B16001_083</t>
  </si>
  <si>
    <t>!!Korean:!!Speak English less than "very well"</t>
  </si>
  <si>
    <t>Estimate!!Total:!!Hmong:</t>
  </si>
  <si>
    <t>'B16001_084',</t>
  </si>
  <si>
    <t>B16001_084</t>
  </si>
  <si>
    <t>!!Hmong:</t>
  </si>
  <si>
    <t>Estimate!!Total:!!Hmong:!!Speak English "very well"</t>
  </si>
  <si>
    <t>'B16001_085',</t>
  </si>
  <si>
    <t>B16001_085</t>
  </si>
  <si>
    <t>!!Hmong:!!Speak English "very well"</t>
  </si>
  <si>
    <t>Estimate!!Total:!!Hmong:!!Speak English less than "very well"</t>
  </si>
  <si>
    <t>'B16001_086',</t>
  </si>
  <si>
    <t>B16001_086</t>
  </si>
  <si>
    <t>!!Hmong:!!Speak English less than "very well"</t>
  </si>
  <si>
    <t>Estimate!!Total:!!Vietnamese:</t>
  </si>
  <si>
    <t>'B16001_087',</t>
  </si>
  <si>
    <t>B16001_087</t>
  </si>
  <si>
    <t>!!Vietnamese:</t>
  </si>
  <si>
    <t>Estimate!!Total:!!Vietnamese:!!Speak English "very well"</t>
  </si>
  <si>
    <t>'B16001_088',</t>
  </si>
  <si>
    <t>B16001_088</t>
  </si>
  <si>
    <t>!!Vietnamese:!!Speak English "very well"</t>
  </si>
  <si>
    <t>Estimate!!Total:!!Vietnamese:!!Speak English less than "very well"</t>
  </si>
  <si>
    <t>'B16001_089',</t>
  </si>
  <si>
    <t>B16001_089</t>
  </si>
  <si>
    <t>!!Vietnamese:!!Speak English less than "very well"</t>
  </si>
  <si>
    <t>Estimate!!Total:!!Khmer:</t>
  </si>
  <si>
    <t>'B16001_090',</t>
  </si>
  <si>
    <t>B16001_090</t>
  </si>
  <si>
    <t>!!Khmer:</t>
  </si>
  <si>
    <t>Estimate!!Total:!!Khmer:!!Speak English "very well"</t>
  </si>
  <si>
    <t>'B16001_091',</t>
  </si>
  <si>
    <t>B16001_091</t>
  </si>
  <si>
    <t>!!Khmer:!!Speak English "very well"</t>
  </si>
  <si>
    <t>Estimate!!Total:!!Khmer:!!Speak English less than "very well"</t>
  </si>
  <si>
    <t>'B16001_092',</t>
  </si>
  <si>
    <t>B16001_092</t>
  </si>
  <si>
    <t>!!Khmer:!!Speak English less than "very well"</t>
  </si>
  <si>
    <t>Estimate!!Total:!!Thai, Lao, or other Tai-Kadai languages:</t>
  </si>
  <si>
    <t>'B16001_093',</t>
  </si>
  <si>
    <t>B16001_093</t>
  </si>
  <si>
    <t>!!Thai, Lao, or other Tai-Kadai languages:</t>
  </si>
  <si>
    <t>Estimate!!Total:!!Thai, Lao, or other Tai-Kadai languages:!!Speak English "very well"</t>
  </si>
  <si>
    <t>'B16001_094',</t>
  </si>
  <si>
    <t>B16001_094</t>
  </si>
  <si>
    <t>!!Thai, Lao, or other Tai-Kadai languages:!!Speak English "very well"</t>
  </si>
  <si>
    <t>Estimate!!Total:!!Thai, Lao, or other Tai-Kadai languages:!!Speak English less than "very well"</t>
  </si>
  <si>
    <t>'B16001_095',</t>
  </si>
  <si>
    <t>B16001_095</t>
  </si>
  <si>
    <t>!!Thai, Lao, or other Tai-Kadai languages:!!Speak English less than "very well"</t>
  </si>
  <si>
    <t>Estimate!!Total:!!Other languages of Asia:</t>
  </si>
  <si>
    <t>'B16001_096',</t>
  </si>
  <si>
    <t>B16001_096</t>
  </si>
  <si>
    <t>!!Other languages of Asia:</t>
  </si>
  <si>
    <t>Estimate!!Total:!!Other languages of Asia:!!Speak English "very well"</t>
  </si>
  <si>
    <t>'B16001_097',</t>
  </si>
  <si>
    <t>B16001_097</t>
  </si>
  <si>
    <t>!!Other languages of Asia:!!Speak English "very well"</t>
  </si>
  <si>
    <t>Estimate!!Total:!!Other languages of Asia:!!Speak English less than "very well"</t>
  </si>
  <si>
    <t>'B16001_098',</t>
  </si>
  <si>
    <t>B16001_098</t>
  </si>
  <si>
    <t>!!Other languages of Asia:!!Speak English less than "very well"</t>
  </si>
  <si>
    <t>Estimate!!Total:!!Tagalog (incl. Filipino):</t>
  </si>
  <si>
    <t>'B16001_099',</t>
  </si>
  <si>
    <t>B16001_099</t>
  </si>
  <si>
    <t>!!Tagalog (incl. Filipino):</t>
  </si>
  <si>
    <t>Estimate!!Total:!!Tagalog (incl. Filipino):!!Speak English "very well"</t>
  </si>
  <si>
    <t>'B16001_100',</t>
  </si>
  <si>
    <t>B16001_100</t>
  </si>
  <si>
    <t>!!Tagalog (incl. Filipino):!!Speak English "very well"</t>
  </si>
  <si>
    <t>Estimate!!Total:!!Tagalog (incl. Filipino):!!Speak English less than "very well"</t>
  </si>
  <si>
    <t>'B16001_101',</t>
  </si>
  <si>
    <t>B16001_101</t>
  </si>
  <si>
    <t>!!Tagalog (incl. Filipino):!!Speak English less than "very well"</t>
  </si>
  <si>
    <t>Estimate!!Total:!!Ilocano, Samoan, Hawaiian, or other Austronesian languages:</t>
  </si>
  <si>
    <t>'B16001_102',</t>
  </si>
  <si>
    <t>B16001_102</t>
  </si>
  <si>
    <t>!!Ilocano, Samoan, Hawaiian, or other Austronesian languages:</t>
  </si>
  <si>
    <t>Estimate!!Total:!!Ilocano, Samoan, Hawaiian, or other Austronesian languages:!!Speak English "very well"</t>
  </si>
  <si>
    <t>'B16001_103',</t>
  </si>
  <si>
    <t>B16001_103</t>
  </si>
  <si>
    <t>!!Ilocano, Samoan, Hawaiian, or other Austronesian languages:!!Speak English "very well"</t>
  </si>
  <si>
    <t>Estimate!!Total:!!Ilocano, Samoan, Hawaiian, or other Austronesian languages:!!Speak English less than "very well"</t>
  </si>
  <si>
    <t>'B16001_104',</t>
  </si>
  <si>
    <t>B16001_104</t>
  </si>
  <si>
    <t>!!Ilocano, Samoan, Hawaiian, or other Austronesian languages:!!Speak English less than "very well"</t>
  </si>
  <si>
    <t>Estimate!!Total:!!Arabic:</t>
  </si>
  <si>
    <t>'B16001_105',</t>
  </si>
  <si>
    <t>B16001_105</t>
  </si>
  <si>
    <t>!!Arabic:</t>
  </si>
  <si>
    <t>Estimate!!Total:!!Arabic:!!Speak English "very well"</t>
  </si>
  <si>
    <t>'B16001_106',</t>
  </si>
  <si>
    <t>B16001_106</t>
  </si>
  <si>
    <t>!!Arabic:!!Speak English "very well"</t>
  </si>
  <si>
    <t>Estimate!!Total:!!Arabic:!!Speak English less than "very well"</t>
  </si>
  <si>
    <t>'B16001_107',</t>
  </si>
  <si>
    <t>B16001_107</t>
  </si>
  <si>
    <t>!!Arabic:!!Speak English less than "very well"</t>
  </si>
  <si>
    <t>Estimate!!Total:!!Hebrew:</t>
  </si>
  <si>
    <t>'B16001_108',</t>
  </si>
  <si>
    <t>B16001_108</t>
  </si>
  <si>
    <t>!!Hebrew:</t>
  </si>
  <si>
    <t>Estimate!!Total:!!Hebrew:!!Speak English "very well"</t>
  </si>
  <si>
    <t>'B16001_109',</t>
  </si>
  <si>
    <t>B16001_109</t>
  </si>
  <si>
    <t>!!Hebrew:!!Speak English "very well"</t>
  </si>
  <si>
    <t>Estimate!!Total:!!Hebrew:!!Speak English less than "very well"</t>
  </si>
  <si>
    <t>'B16001_110',</t>
  </si>
  <si>
    <t>B16001_110</t>
  </si>
  <si>
    <t>!!Hebrew:!!Speak English less than "very well"</t>
  </si>
  <si>
    <t>Estimate!!Total:!!Amharic, Somali, or other Afro-Asiatic languages:</t>
  </si>
  <si>
    <t>'B16001_111',</t>
  </si>
  <si>
    <t>B16001_111</t>
  </si>
  <si>
    <t>!!Amharic, Somali, or other Afro-Asiatic languages:</t>
  </si>
  <si>
    <t>Estimate!!Total:!!Amharic, Somali, or other Afro-Asiatic languages:!!Speak English "very well"</t>
  </si>
  <si>
    <t>'B16001_112',</t>
  </si>
  <si>
    <t>B16001_112</t>
  </si>
  <si>
    <t>!!Amharic, Somali, or other Afro-Asiatic languages:!!Speak English "very well"</t>
  </si>
  <si>
    <t>Estimate!!Total:!!Amharic, Somali, or other Afro-Asiatic languages:!!Speak English less than "very well"</t>
  </si>
  <si>
    <t>'B16001_113',</t>
  </si>
  <si>
    <t>B16001_113</t>
  </si>
  <si>
    <t>!!Amharic, Somali, or other Afro-Asiatic languages:!!Speak English less than "very well"</t>
  </si>
  <si>
    <t>Estimate!!Total:!!Yoruba, Twi, Igbo, or other languages of Western Africa:</t>
  </si>
  <si>
    <t>'B16001_114',</t>
  </si>
  <si>
    <t>B16001_114</t>
  </si>
  <si>
    <t>!!Yoruba, Twi, Igbo, or other languages of Western Africa:</t>
  </si>
  <si>
    <t>Estimate!!Total:!!Yoruba, Twi, Igbo, or other languages of Western Africa:!!Speak English "very well"</t>
  </si>
  <si>
    <t>'B16001_115',</t>
  </si>
  <si>
    <t>B16001_115</t>
  </si>
  <si>
    <t>!!Yoruba, Twi, Igbo, or other languages of Western Africa:!!Speak English "very well"</t>
  </si>
  <si>
    <t>Estimate!!Total:!!Yoruba, Twi, Igbo, or other languages of Western Africa:!!Speak English less than "very well"</t>
  </si>
  <si>
    <t>'B16001_116',</t>
  </si>
  <si>
    <t>B16001_116</t>
  </si>
  <si>
    <t>!!Yoruba, Twi, Igbo, or other languages of Western Africa:!!Speak English less than "very well"</t>
  </si>
  <si>
    <t>Estimate!!Total:!!Swahili or other languages of Central, Eastern, and Southern Africa:</t>
  </si>
  <si>
    <t>'B16001_117',</t>
  </si>
  <si>
    <t>B16001_117</t>
  </si>
  <si>
    <t>!!Swahili or other languages of Central, Eastern, and Southern Africa:</t>
  </si>
  <si>
    <t>Estimate!!Total:!!Swahili or other languages of Central, Eastern, and Southern Africa:!!Speak English "very well"</t>
  </si>
  <si>
    <t>'B16001_118',</t>
  </si>
  <si>
    <t>B16001_118</t>
  </si>
  <si>
    <t>!!Swahili or other languages of Central, Eastern, and Southern Africa:!!Speak English "very well"</t>
  </si>
  <si>
    <t>Estimate!!Total:!!Swahili or other languages of Central, Eastern, and Southern Africa:!!Speak English less than "very well"</t>
  </si>
  <si>
    <t>'B16001_119',</t>
  </si>
  <si>
    <t>B16001_119</t>
  </si>
  <si>
    <t>!!Swahili or other languages of Central, Eastern, and Southern Africa:!!Speak English less than "very well"</t>
  </si>
  <si>
    <t>Estimate!!Total:!!Navajo:</t>
  </si>
  <si>
    <t>'B16001_120',</t>
  </si>
  <si>
    <t>B16001_120</t>
  </si>
  <si>
    <t>!!Navajo:</t>
  </si>
  <si>
    <t>Estimate!!Total:!!Navajo:!!Speak English "very well"</t>
  </si>
  <si>
    <t>'B16001_121',</t>
  </si>
  <si>
    <t>B16001_121</t>
  </si>
  <si>
    <t>!!Navajo:!!Speak English "very well"</t>
  </si>
  <si>
    <t>Estimate!!Total:!!Navajo:!!Speak English less than "very well"</t>
  </si>
  <si>
    <t>'B16001_122',</t>
  </si>
  <si>
    <t>B16001_122</t>
  </si>
  <si>
    <t>!!Navajo:!!Speak English less than "very well"</t>
  </si>
  <si>
    <t>Estimate!!Total:!!Other Native languages of North America:</t>
  </si>
  <si>
    <t>'B16001_123',</t>
  </si>
  <si>
    <t>B16001_123</t>
  </si>
  <si>
    <t>!!Other Native languages of North America:</t>
  </si>
  <si>
    <t>Estimate!!Total:!!Other Native languages of North America:!!Speak English "very well"</t>
  </si>
  <si>
    <t>'B16001_124',</t>
  </si>
  <si>
    <t>B16001_124</t>
  </si>
  <si>
    <t>!!Other Native languages of North America:!!Speak English "very well"</t>
  </si>
  <si>
    <t>Estimate!!Total:!!Other Native languages of North America:!!Speak English less than "very well"</t>
  </si>
  <si>
    <t>'B16001_125',</t>
  </si>
  <si>
    <t>B16001_125</t>
  </si>
  <si>
    <t>!!Other Native languages of North America:!!Speak English less than "very well"</t>
  </si>
  <si>
    <t>Estimate!!Total:!!Other and unspecified languages:</t>
  </si>
  <si>
    <t>'B16001_126',</t>
  </si>
  <si>
    <t>B16001_126</t>
  </si>
  <si>
    <t>!!Other and unspecified languages:</t>
  </si>
  <si>
    <t>Estimate!!Total:!!Other and unspecified languages:!!Speak English "very well"</t>
  </si>
  <si>
    <t>'B16001_127',</t>
  </si>
  <si>
    <t>B16001_127</t>
  </si>
  <si>
    <t>!!Other and unspecified languages:!!Speak English "very well"</t>
  </si>
  <si>
    <t>Estimate!!Total:!!Other and unspecified languages:!!Speak English less than "very well"</t>
  </si>
  <si>
    <t>'B16001_128',</t>
  </si>
  <si>
    <t>B16001_128</t>
  </si>
  <si>
    <t>!!Other and unspecified languages:!!Speak English less than "very well"</t>
  </si>
  <si>
    <t>Detailed Household Language by Household Limited English Speaking Status</t>
  </si>
  <si>
    <t>'B16002_001',</t>
  </si>
  <si>
    <t>B16002_001</t>
  </si>
  <si>
    <t>Estimate!!Total:!!English only</t>
  </si>
  <si>
    <t>'B16002_002',</t>
  </si>
  <si>
    <t>B16002_002</t>
  </si>
  <si>
    <t>!!English only</t>
  </si>
  <si>
    <t>'B16002_003',</t>
  </si>
  <si>
    <t>B16002_003</t>
  </si>
  <si>
    <t>Estimate!!Total:!!Spanish:!!Limited English speaking household</t>
  </si>
  <si>
    <t>'B16002_004',</t>
  </si>
  <si>
    <t>B16002_004</t>
  </si>
  <si>
    <t>!!Spanish:!!Limited English speaking household</t>
  </si>
  <si>
    <t>Estimate!!Total:!!Spanish:!!Not a limited English speaking household</t>
  </si>
  <si>
    <t>'B16002_005',</t>
  </si>
  <si>
    <t>B16002_005</t>
  </si>
  <si>
    <t>!!Spanish:!!Not a limited English speaking household</t>
  </si>
  <si>
    <t>Estimate!!Total:!!French, Haitian, or Cajun:</t>
  </si>
  <si>
    <t>'B16002_006',</t>
  </si>
  <si>
    <t>B16002_006</t>
  </si>
  <si>
    <t>!!French, Haitian, or Cajun:</t>
  </si>
  <si>
    <t>Estimate!!Total:!!French, Haitian, or Cajun:!!Limited English speaking household</t>
  </si>
  <si>
    <t>'B16002_007',</t>
  </si>
  <si>
    <t>B16002_007</t>
  </si>
  <si>
    <t>!!French, Haitian, or Cajun:!!Limited English speaking household</t>
  </si>
  <si>
    <t>Estimate!!Total:!!French, Haitian, or Cajun:!!Not a limited English speaking household</t>
  </si>
  <si>
    <t>'B16002_008',</t>
  </si>
  <si>
    <t>B16002_008</t>
  </si>
  <si>
    <t>!!French, Haitian, or Cajun:!!Not a limited English speaking household</t>
  </si>
  <si>
    <t>Estimate!!Total:!!German or other West Germanic languages:</t>
  </si>
  <si>
    <t>'B16002_009',</t>
  </si>
  <si>
    <t>B16002_009</t>
  </si>
  <si>
    <t>!!German or other West Germanic languages:</t>
  </si>
  <si>
    <t>Estimate!!Total:!!German or other West Germanic languages:!!Limited English speaking household</t>
  </si>
  <si>
    <t>'B16002_010',</t>
  </si>
  <si>
    <t>B16002_010</t>
  </si>
  <si>
    <t>!!German or other West Germanic languages:!!Limited English speaking household</t>
  </si>
  <si>
    <t>Estimate!!Total:!!German or other West Germanic languages:!!Not a limited English speaking household</t>
  </si>
  <si>
    <t>'B16002_011',</t>
  </si>
  <si>
    <t>B16002_011</t>
  </si>
  <si>
    <t>!!German or other West Germanic languages:!!Not a limited English speaking household</t>
  </si>
  <si>
    <t>Estimate!!Total:!!Russian, Polish, or other Slavic languages:</t>
  </si>
  <si>
    <t>'B16002_012',</t>
  </si>
  <si>
    <t>B16002_012</t>
  </si>
  <si>
    <t>!!Russian, Polish, or other Slavic languages:</t>
  </si>
  <si>
    <t>Estimate!!Total:!!Russian, Polish, or other Slavic languages:!!Limited English speaking household</t>
  </si>
  <si>
    <t>'B16002_013',</t>
  </si>
  <si>
    <t>B16002_013</t>
  </si>
  <si>
    <t>!!Russian, Polish, or other Slavic languages:!!Limited English speaking household</t>
  </si>
  <si>
    <t>Estimate!!Total:!!Russian, Polish, or other Slavic languages:!!Not a limited English speaking household</t>
  </si>
  <si>
    <t>'B16002_014',</t>
  </si>
  <si>
    <t>B16002_014</t>
  </si>
  <si>
    <t>!!Russian, Polish, or other Slavic languages:!!Not a limited English speaking household</t>
  </si>
  <si>
    <t>'B16002_015',</t>
  </si>
  <si>
    <t>B16002_015</t>
  </si>
  <si>
    <t>Estimate!!Total:!!Other Indo-European languages:!!Limited English speaking household</t>
  </si>
  <si>
    <t>'B16002_016',</t>
  </si>
  <si>
    <t>B16002_016</t>
  </si>
  <si>
    <t>!!Other Indo-European languages:!!Limited English speaking household</t>
  </si>
  <si>
    <t>Estimate!!Total:!!Other Indo-European languages:!!Not a limited English speaking household</t>
  </si>
  <si>
    <t>'B16002_017',</t>
  </si>
  <si>
    <t>B16002_017</t>
  </si>
  <si>
    <t>!!Other Indo-European languages:!!Not a limited English speaking household</t>
  </si>
  <si>
    <t>'B16002_018',</t>
  </si>
  <si>
    <t>B16002_018</t>
  </si>
  <si>
    <t>Estimate!!Total:!!Korean:!!Limited English speaking household</t>
  </si>
  <si>
    <t>'B16002_019',</t>
  </si>
  <si>
    <t>B16002_019</t>
  </si>
  <si>
    <t>!!Korean:!!Limited English speaking household</t>
  </si>
  <si>
    <t>Estimate!!Total:!!Korean:!!Not a limited English speaking household</t>
  </si>
  <si>
    <t>'B16002_020',</t>
  </si>
  <si>
    <t>B16002_020</t>
  </si>
  <si>
    <t>!!Korean:!!Not a limited English speaking household</t>
  </si>
  <si>
    <t>'B16002_021',</t>
  </si>
  <si>
    <t>B16002_021</t>
  </si>
  <si>
    <t>Estimate!!Total:!!Chinese (incl. Mandarin, Cantonese):!!Limited English speaking household</t>
  </si>
  <si>
    <t>'B16002_022',</t>
  </si>
  <si>
    <t>B16002_022</t>
  </si>
  <si>
    <t>!!Chinese (incl. Mandarin, Cantonese):!!Limited English speaking household</t>
  </si>
  <si>
    <t>Estimate!!Total:!!Chinese (incl. Mandarin, Cantonese):!!Not a limited English speaking household</t>
  </si>
  <si>
    <t>'B16002_023',</t>
  </si>
  <si>
    <t>B16002_023</t>
  </si>
  <si>
    <t>!!Chinese (incl. Mandarin, Cantonese):!!Not a limited English speaking household</t>
  </si>
  <si>
    <t>'B16002_024',</t>
  </si>
  <si>
    <t>B16002_024</t>
  </si>
  <si>
    <t>Estimate!!Total:!!Vietnamese:!!Limited English speaking household</t>
  </si>
  <si>
    <t>'B16002_025',</t>
  </si>
  <si>
    <t>B16002_025</t>
  </si>
  <si>
    <t>!!Vietnamese:!!Limited English speaking household</t>
  </si>
  <si>
    <t>Estimate!!Total:!!Vietnamese:!!Not a limited English speaking household</t>
  </si>
  <si>
    <t>'B16002_026',</t>
  </si>
  <si>
    <t>B16002_026</t>
  </si>
  <si>
    <t>!!Vietnamese:!!Not a limited English speaking household</t>
  </si>
  <si>
    <t>'B16002_027',</t>
  </si>
  <si>
    <t>B16002_027</t>
  </si>
  <si>
    <t>Estimate!!Total:!!Tagalog (incl. Filipino):!!Limited English speaking household</t>
  </si>
  <si>
    <t>'B16002_028',</t>
  </si>
  <si>
    <t>B16002_028</t>
  </si>
  <si>
    <t>!!Tagalog (incl. Filipino):!!Limited English speaking household</t>
  </si>
  <si>
    <t>Estimate!!Total:!!Tagalog (incl. Filipino):!!Not a limited English speaking household</t>
  </si>
  <si>
    <t>'B16002_029',</t>
  </si>
  <si>
    <t>B16002_029</t>
  </si>
  <si>
    <t>!!Tagalog (incl. Filipino):!!Not a limited English speaking household</t>
  </si>
  <si>
    <t>Estimate!!Total:!!Other Asian and Pacific Island languages:</t>
  </si>
  <si>
    <t>'B16002_030',</t>
  </si>
  <si>
    <t>B16002_030</t>
  </si>
  <si>
    <t>!!Other Asian and Pacific Island languages:</t>
  </si>
  <si>
    <t>Estimate!!Total:!!Other Asian and Pacific Island languages:!!Limited English speaking household</t>
  </si>
  <si>
    <t>'B16002_031',</t>
  </si>
  <si>
    <t>B16002_031</t>
  </si>
  <si>
    <t>!!Other Asian and Pacific Island languages:!!Limited English speaking household</t>
  </si>
  <si>
    <t>Estimate!!Total:!!Other Asian and Pacific Island languages:!!Not a limited English speaking household</t>
  </si>
  <si>
    <t>'B16002_032',</t>
  </si>
  <si>
    <t>B16002_032</t>
  </si>
  <si>
    <t>!!Other Asian and Pacific Island languages:!!Not a limited English speaking household</t>
  </si>
  <si>
    <t>'B16002_033',</t>
  </si>
  <si>
    <t>B16002_033</t>
  </si>
  <si>
    <t>Estimate!!Total:!!Arabic:!!Limited English speaking household</t>
  </si>
  <si>
    <t>'B16002_034',</t>
  </si>
  <si>
    <t>B16002_034</t>
  </si>
  <si>
    <t>!!Arabic:!!Limited English speaking household</t>
  </si>
  <si>
    <t>Estimate!!Total:!!Arabic:!!Not a limited English speaking household</t>
  </si>
  <si>
    <t>'B16002_035',</t>
  </si>
  <si>
    <t>B16002_035</t>
  </si>
  <si>
    <t>!!Arabic:!!Not a limited English speaking household</t>
  </si>
  <si>
    <t>'B16002_036',</t>
  </si>
  <si>
    <t>B16002_036</t>
  </si>
  <si>
    <t>Estimate!!Total:!!Other and unspecified languages:!!Limited English speaking household</t>
  </si>
  <si>
    <t>'B16002_037',</t>
  </si>
  <si>
    <t>B16002_037</t>
  </si>
  <si>
    <t>!!Other and unspecified languages:!!Limited English speaking household</t>
  </si>
  <si>
    <t>Estimate!!Total:!!Other and unspecified languages:!!Not a limited English speaking household</t>
  </si>
  <si>
    <t>'B16002_038',</t>
  </si>
  <si>
    <t>B16002_038</t>
  </si>
  <si>
    <t>!!Other and unspecified languages:!!Not a limited English speaking household</t>
  </si>
  <si>
    <t>Age by Language Spoken at Home for the Population 5 Years and Over in Limited English Speaking Households</t>
  </si>
  <si>
    <t>'B16003_001',</t>
  </si>
  <si>
    <t>B16003_001</t>
  </si>
  <si>
    <t>Estimate!!Total:!!5 to 17 years:</t>
  </si>
  <si>
    <t>'B16003_002',</t>
  </si>
  <si>
    <t>B16003_002</t>
  </si>
  <si>
    <t>!!5 to 17 years:</t>
  </si>
  <si>
    <t>Estimate!!Total:!!5 to 17 years:!!Speak only English</t>
  </si>
  <si>
    <t>'B16003_003',</t>
  </si>
  <si>
    <t>B16003_003</t>
  </si>
  <si>
    <t>!!5 to 17 years:!!Speak only English</t>
  </si>
  <si>
    <t>Estimate!!Total:!!5 to 17 years:!!Speak Spanish</t>
  </si>
  <si>
    <t>'B16003_004',</t>
  </si>
  <si>
    <t>B16003_004</t>
  </si>
  <si>
    <t>!!5 to 17 years:!!Speak Spanish</t>
  </si>
  <si>
    <t>Estimate!!Total:!!5 to 17 years:!!Speak other Indo-European languages</t>
  </si>
  <si>
    <t>'B16003_005',</t>
  </si>
  <si>
    <t>B16003_005</t>
  </si>
  <si>
    <t>!!5 to 17 years:!!Speak other Indo-European languages</t>
  </si>
  <si>
    <t>Estimate!!Total:!!5 to 17 years:!!Speak Asian and Pacific Island languages</t>
  </si>
  <si>
    <t>'B16003_006',</t>
  </si>
  <si>
    <t>B16003_006</t>
  </si>
  <si>
    <t>!!5 to 17 years:!!Speak Asian and Pacific Island languages</t>
  </si>
  <si>
    <t>Estimate!!Total:!!5 to 17 years:!!Speak other languages</t>
  </si>
  <si>
    <t>'B16003_007',</t>
  </si>
  <si>
    <t>B16003_007</t>
  </si>
  <si>
    <t>!!5 to 17 years:!!Speak other languages</t>
  </si>
  <si>
    <t>Estimate!!Total:!!18 years and over:</t>
  </si>
  <si>
    <t>'B16003_008',</t>
  </si>
  <si>
    <t>B16003_008</t>
  </si>
  <si>
    <t>!!18 years and over:</t>
  </si>
  <si>
    <t>Estimate!!Total:!!18 years and over:!!Speak Spanish</t>
  </si>
  <si>
    <t>'B16003_009',</t>
  </si>
  <si>
    <t>B16003_009</t>
  </si>
  <si>
    <t>!!18 years and over:!!Speak Spanish</t>
  </si>
  <si>
    <t>Estimate!!Total:!!18 years and over:!!Speak other Indo-European languages</t>
  </si>
  <si>
    <t>'B16003_010',</t>
  </si>
  <si>
    <t>B16003_010</t>
  </si>
  <si>
    <t>!!18 years and over:!!Speak other Indo-European languages</t>
  </si>
  <si>
    <t>Estimate!!Total:!!18 years and over:!!Speak Asian and Pacific Island languages</t>
  </si>
  <si>
    <t>'B16003_011',</t>
  </si>
  <si>
    <t>B16003_011</t>
  </si>
  <si>
    <t>!!18 years and over:!!Speak Asian and Pacific Island languages</t>
  </si>
  <si>
    <t>Estimate!!Total:!!18 years and over:!!Speak other languages</t>
  </si>
  <si>
    <t>'B16003_012',</t>
  </si>
  <si>
    <t>B16003_012</t>
  </si>
  <si>
    <t>!!18 years and over:!!Speak other languages</t>
  </si>
  <si>
    <t>Age by Language Spoken at Home by Ability to Speak English for the Population 5 Years and Over</t>
  </si>
  <si>
    <t>'B16004_001',</t>
  </si>
  <si>
    <t>B16004_001</t>
  </si>
  <si>
    <t>'B16004_002',</t>
  </si>
  <si>
    <t>B16004_002</t>
  </si>
  <si>
    <t>'B16004_003',</t>
  </si>
  <si>
    <t>B16004_003</t>
  </si>
  <si>
    <t>Estimate!!Total:!!5 to 17 years:!!Speak Spanish:</t>
  </si>
  <si>
    <t>'B16004_004',</t>
  </si>
  <si>
    <t>B16004_004</t>
  </si>
  <si>
    <t>!!5 to 17 years:!!Speak Spanish:</t>
  </si>
  <si>
    <t>Estimate!!Total:!!5 to 17 years:!!Speak Spanish:!!Speak English "very well"</t>
  </si>
  <si>
    <t>'B16004_005',</t>
  </si>
  <si>
    <t>B16004_005</t>
  </si>
  <si>
    <t>!!5 to 17 years:!!Speak Spanish:!!Speak English "very well"</t>
  </si>
  <si>
    <t>Estimate!!Total:!!5 to 17 years:!!Speak Spanish:!!Speak English "well"</t>
  </si>
  <si>
    <t>'B16004_006',</t>
  </si>
  <si>
    <t>B16004_006</t>
  </si>
  <si>
    <t>!!5 to 17 years:!!Speak Spanish:!!Speak English "well"</t>
  </si>
  <si>
    <t>Estimate!!Total:!!5 to 17 years:!!Speak Spanish:!!Speak English "not well"</t>
  </si>
  <si>
    <t>'B16004_007',</t>
  </si>
  <si>
    <t>B16004_007</t>
  </si>
  <si>
    <t>!!5 to 17 years:!!Speak Spanish:!!Speak English "not well"</t>
  </si>
  <si>
    <t>Estimate!!Total:!!5 to 17 years:!!Speak Spanish:!!Speak English "not at all"</t>
  </si>
  <si>
    <t>'B16004_008',</t>
  </si>
  <si>
    <t>B16004_008</t>
  </si>
  <si>
    <t>!!5 to 17 years:!!Speak Spanish:!!Speak English "not at all"</t>
  </si>
  <si>
    <t>Estimate!!Total:!!5 to 17 years:!!Speak other Indo-European languages:</t>
  </si>
  <si>
    <t>'B16004_009',</t>
  </si>
  <si>
    <t>B16004_009</t>
  </si>
  <si>
    <t>!!5 to 17 years:!!Speak other Indo-European languages:</t>
  </si>
  <si>
    <t>Estimate!!Total:!!5 to 17 years:!!Speak other Indo-European languages:!!Speak English "very well"</t>
  </si>
  <si>
    <t>'B16004_010',</t>
  </si>
  <si>
    <t>B16004_010</t>
  </si>
  <si>
    <t>!!5 to 17 years:!!Speak other Indo-European languages:!!Speak English "very well"</t>
  </si>
  <si>
    <t>Estimate!!Total:!!5 to 17 years:!!Speak other Indo-European languages:!!Speak English "well"</t>
  </si>
  <si>
    <t>'B16004_011',</t>
  </si>
  <si>
    <t>B16004_011</t>
  </si>
  <si>
    <t>!!5 to 17 years:!!Speak other Indo-European languages:!!Speak English "well"</t>
  </si>
  <si>
    <t>Estimate!!Total:!!5 to 17 years:!!Speak other Indo-European languages:!!Speak English "not well"</t>
  </si>
  <si>
    <t>'B16004_012',</t>
  </si>
  <si>
    <t>B16004_012</t>
  </si>
  <si>
    <t>!!5 to 17 years:!!Speak other Indo-European languages:!!Speak English "not well"</t>
  </si>
  <si>
    <t>Estimate!!Total:!!5 to 17 years:!!Speak other Indo-European languages:!!Speak English "not at all"</t>
  </si>
  <si>
    <t>'B16004_013',</t>
  </si>
  <si>
    <t>B16004_013</t>
  </si>
  <si>
    <t>!!5 to 17 years:!!Speak other Indo-European languages:!!Speak English "not at all"</t>
  </si>
  <si>
    <t>Estimate!!Total:!!5 to 17 years:!!Speak Asian and Pacific Island languages:</t>
  </si>
  <si>
    <t>'B16004_014',</t>
  </si>
  <si>
    <t>B16004_014</t>
  </si>
  <si>
    <t>!!5 to 17 years:!!Speak Asian and Pacific Island languages:</t>
  </si>
  <si>
    <t>Estimate!!Total:!!5 to 17 years:!!Speak Asian and Pacific Island languages:!!Speak English "very well"</t>
  </si>
  <si>
    <t>'B16004_015',</t>
  </si>
  <si>
    <t>B16004_015</t>
  </si>
  <si>
    <t>!!5 to 17 years:!!Speak Asian and Pacific Island languages:!!Speak English "very well"</t>
  </si>
  <si>
    <t>Estimate!!Total:!!5 to 17 years:!!Speak Asian and Pacific Island languages:!!Speak English "well"</t>
  </si>
  <si>
    <t>'B16004_016',</t>
  </si>
  <si>
    <t>B16004_016</t>
  </si>
  <si>
    <t>!!5 to 17 years:!!Speak Asian and Pacific Island languages:!!Speak English "well"</t>
  </si>
  <si>
    <t>Estimate!!Total:!!5 to 17 years:!!Speak Asian and Pacific Island languages:!!Speak English "not well"</t>
  </si>
  <si>
    <t>'B16004_017',</t>
  </si>
  <si>
    <t>B16004_017</t>
  </si>
  <si>
    <t>!!5 to 17 years:!!Speak Asian and Pacific Island languages:!!Speak English "not well"</t>
  </si>
  <si>
    <t>Estimate!!Total:!!5 to 17 years:!!Speak Asian and Pacific Island languages:!!Speak English "not at all"</t>
  </si>
  <si>
    <t>'B16004_018',</t>
  </si>
  <si>
    <t>B16004_018</t>
  </si>
  <si>
    <t>!!5 to 17 years:!!Speak Asian and Pacific Island languages:!!Speak English "not at all"</t>
  </si>
  <si>
    <t>Estimate!!Total:!!5 to 17 years:!!Speak other languages:</t>
  </si>
  <si>
    <t>'B16004_019',</t>
  </si>
  <si>
    <t>B16004_019</t>
  </si>
  <si>
    <t>!!5 to 17 years:!!Speak other languages:</t>
  </si>
  <si>
    <t>Estimate!!Total:!!5 to 17 years:!!Speak other languages:!!Speak English "very well"</t>
  </si>
  <si>
    <t>'B16004_020',</t>
  </si>
  <si>
    <t>B16004_020</t>
  </si>
  <si>
    <t>!!5 to 17 years:!!Speak other languages:!!Speak English "very well"</t>
  </si>
  <si>
    <t>Estimate!!Total:!!5 to 17 years:!!Speak other languages:!!Speak English "well"</t>
  </si>
  <si>
    <t>'B16004_021',</t>
  </si>
  <si>
    <t>B16004_021</t>
  </si>
  <si>
    <t>!!5 to 17 years:!!Speak other languages:!!Speak English "well"</t>
  </si>
  <si>
    <t>Estimate!!Total:!!5 to 17 years:!!Speak other languages:!!Speak English "not well"</t>
  </si>
  <si>
    <t>'B16004_022',</t>
  </si>
  <si>
    <t>B16004_022</t>
  </si>
  <si>
    <t>!!5 to 17 years:!!Speak other languages:!!Speak English "not well"</t>
  </si>
  <si>
    <t>Estimate!!Total:!!5 to 17 years:!!Speak other languages:!!Speak English "not at all"</t>
  </si>
  <si>
    <t>'B16004_023',</t>
  </si>
  <si>
    <t>B16004_023</t>
  </si>
  <si>
    <t>!!5 to 17 years:!!Speak other languages:!!Speak English "not at all"</t>
  </si>
  <si>
    <t>'B16004_024',</t>
  </si>
  <si>
    <t>B16004_024</t>
  </si>
  <si>
    <t>Estimate!!Total:!!18 to 64 years:!!Speak only English</t>
  </si>
  <si>
    <t>'B16004_025',</t>
  </si>
  <si>
    <t>B16004_025</t>
  </si>
  <si>
    <t>!!18 to 64 years:!!Speak only English</t>
  </si>
  <si>
    <t>Estimate!!Total:!!18 to 64 years:!!Speak Spanish:</t>
  </si>
  <si>
    <t>'B16004_026',</t>
  </si>
  <si>
    <t>B16004_026</t>
  </si>
  <si>
    <t>!!18 to 64 years:!!Speak Spanish:</t>
  </si>
  <si>
    <t>Estimate!!Total:!!18 to 64 years:!!Speak Spanish:!!Speak English "very well"</t>
  </si>
  <si>
    <t>'B16004_027',</t>
  </si>
  <si>
    <t>B16004_027</t>
  </si>
  <si>
    <t>!!18 to 64 years:!!Speak Spanish:!!Speak English "very well"</t>
  </si>
  <si>
    <t>Estimate!!Total:!!18 to 64 years:!!Speak Spanish:!!Speak English "well"</t>
  </si>
  <si>
    <t>'B16004_028',</t>
  </si>
  <si>
    <t>B16004_028</t>
  </si>
  <si>
    <t>!!18 to 64 years:!!Speak Spanish:!!Speak English "well"</t>
  </si>
  <si>
    <t>Estimate!!Total:!!18 to 64 years:!!Speak Spanish:!!Speak English "not well"</t>
  </si>
  <si>
    <t>'B16004_029',</t>
  </si>
  <si>
    <t>B16004_029</t>
  </si>
  <si>
    <t>!!18 to 64 years:!!Speak Spanish:!!Speak English "not well"</t>
  </si>
  <si>
    <t>Estimate!!Total:!!18 to 64 years:!!Speak Spanish:!!Speak English "not at all"</t>
  </si>
  <si>
    <t>'B16004_030',</t>
  </si>
  <si>
    <t>B16004_030</t>
  </si>
  <si>
    <t>!!18 to 64 years:!!Speak Spanish:!!Speak English "not at all"</t>
  </si>
  <si>
    <t>Estimate!!Total:!!18 to 64 years:!!Speak other Indo-European languages:</t>
  </si>
  <si>
    <t>'B16004_031',</t>
  </si>
  <si>
    <t>B16004_031</t>
  </si>
  <si>
    <t>!!18 to 64 years:!!Speak other Indo-European languages:</t>
  </si>
  <si>
    <t>Estimate!!Total:!!18 to 64 years:!!Speak other Indo-European languages:!!Speak English "very well"</t>
  </si>
  <si>
    <t>'B16004_032',</t>
  </si>
  <si>
    <t>B16004_032</t>
  </si>
  <si>
    <t>!!18 to 64 years:!!Speak other Indo-European languages:!!Speak English "very well"</t>
  </si>
  <si>
    <t>Estimate!!Total:!!18 to 64 years:!!Speak other Indo-European languages:!!Speak English "well"</t>
  </si>
  <si>
    <t>'B16004_033',</t>
  </si>
  <si>
    <t>B16004_033</t>
  </si>
  <si>
    <t>!!18 to 64 years:!!Speak other Indo-European languages:!!Speak English "well"</t>
  </si>
  <si>
    <t>Estimate!!Total:!!18 to 64 years:!!Speak other Indo-European languages:!!Speak English "not well"</t>
  </si>
  <si>
    <t>'B16004_034',</t>
  </si>
  <si>
    <t>B16004_034</t>
  </si>
  <si>
    <t>!!18 to 64 years:!!Speak other Indo-European languages:!!Speak English "not well"</t>
  </si>
  <si>
    <t>Estimate!!Total:!!18 to 64 years:!!Speak other Indo-European languages:!!Speak English "not at all"</t>
  </si>
  <si>
    <t>'B16004_035',</t>
  </si>
  <si>
    <t>B16004_035</t>
  </si>
  <si>
    <t>!!18 to 64 years:!!Speak other Indo-European languages:!!Speak English "not at all"</t>
  </si>
  <si>
    <t>Estimate!!Total:!!18 to 64 years:!!Speak Asian and Pacific Island languages:</t>
  </si>
  <si>
    <t>'B16004_036',</t>
  </si>
  <si>
    <t>B16004_036</t>
  </si>
  <si>
    <t>!!18 to 64 years:!!Speak Asian and Pacific Island languages:</t>
  </si>
  <si>
    <t>Estimate!!Total:!!18 to 64 years:!!Speak Asian and Pacific Island languages:!!Speak English "very well"</t>
  </si>
  <si>
    <t>'B16004_037',</t>
  </si>
  <si>
    <t>B16004_037</t>
  </si>
  <si>
    <t>!!18 to 64 years:!!Speak Asian and Pacific Island languages:!!Speak English "very well"</t>
  </si>
  <si>
    <t>Estimate!!Total:!!18 to 64 years:!!Speak Asian and Pacific Island languages:!!Speak English "well"</t>
  </si>
  <si>
    <t>'B16004_038',</t>
  </si>
  <si>
    <t>B16004_038</t>
  </si>
  <si>
    <t>!!18 to 64 years:!!Speak Asian and Pacific Island languages:!!Speak English "well"</t>
  </si>
  <si>
    <t>Estimate!!Total:!!18 to 64 years:!!Speak Asian and Pacific Island languages:!!Speak English "not well"</t>
  </si>
  <si>
    <t>'B16004_039',</t>
  </si>
  <si>
    <t>B16004_039</t>
  </si>
  <si>
    <t>!!18 to 64 years:!!Speak Asian and Pacific Island languages:!!Speak English "not well"</t>
  </si>
  <si>
    <t>Estimate!!Total:!!18 to 64 years:!!Speak Asian and Pacific Island languages:!!Speak English "not at all"</t>
  </si>
  <si>
    <t>'B16004_040',</t>
  </si>
  <si>
    <t>B16004_040</t>
  </si>
  <si>
    <t>!!18 to 64 years:!!Speak Asian and Pacific Island languages:!!Speak English "not at all"</t>
  </si>
  <si>
    <t>Estimate!!Total:!!18 to 64 years:!!Speak other languages:</t>
  </si>
  <si>
    <t>'B16004_041',</t>
  </si>
  <si>
    <t>B16004_041</t>
  </si>
  <si>
    <t>!!18 to 64 years:!!Speak other languages:</t>
  </si>
  <si>
    <t>Estimate!!Total:!!18 to 64 years:!!Speak other languages:!!Speak English "very well"</t>
  </si>
  <si>
    <t>'B16004_042',</t>
  </si>
  <si>
    <t>B16004_042</t>
  </si>
  <si>
    <t>!!18 to 64 years:!!Speak other languages:!!Speak English "very well"</t>
  </si>
  <si>
    <t>Estimate!!Total:!!18 to 64 years:!!Speak other languages:!!Speak English "well"</t>
  </si>
  <si>
    <t>'B16004_043',</t>
  </si>
  <si>
    <t>B16004_043</t>
  </si>
  <si>
    <t>!!18 to 64 years:!!Speak other languages:!!Speak English "well"</t>
  </si>
  <si>
    <t>Estimate!!Total:!!18 to 64 years:!!Speak other languages:!!Speak English "not well"</t>
  </si>
  <si>
    <t>'B16004_044',</t>
  </si>
  <si>
    <t>B16004_044</t>
  </si>
  <si>
    <t>!!18 to 64 years:!!Speak other languages:!!Speak English "not well"</t>
  </si>
  <si>
    <t>Estimate!!Total:!!18 to 64 years:!!Speak other languages:!!Speak English "not at all"</t>
  </si>
  <si>
    <t>'B16004_045',</t>
  </si>
  <si>
    <t>B16004_045</t>
  </si>
  <si>
    <t>!!18 to 64 years:!!Speak other languages:!!Speak English "not at all"</t>
  </si>
  <si>
    <t>'B16004_046',</t>
  </si>
  <si>
    <t>B16004_046</t>
  </si>
  <si>
    <t>Estimate!!Total:!!65 years and over:!!Speak only English</t>
  </si>
  <si>
    <t>'B16004_047',</t>
  </si>
  <si>
    <t>B16004_047</t>
  </si>
  <si>
    <t>!!65 years and over:!!Speak only English</t>
  </si>
  <si>
    <t>Estimate!!Total:!!65 years and over:!!Speak Spanish:</t>
  </si>
  <si>
    <t>'B16004_048',</t>
  </si>
  <si>
    <t>B16004_048</t>
  </si>
  <si>
    <t>!!65 years and over:!!Speak Spanish:</t>
  </si>
  <si>
    <t>Estimate!!Total:!!65 years and over:!!Speak Spanish:!!Speak English "very well"</t>
  </si>
  <si>
    <t>'B16004_049',</t>
  </si>
  <si>
    <t>B16004_049</t>
  </si>
  <si>
    <t>!!65 years and over:!!Speak Spanish:!!Speak English "very well"</t>
  </si>
  <si>
    <t>Estimate!!Total:!!65 years and over:!!Speak Spanish:!!Speak English "well"</t>
  </si>
  <si>
    <t>'B16004_050',</t>
  </si>
  <si>
    <t>B16004_050</t>
  </si>
  <si>
    <t>!!65 years and over:!!Speak Spanish:!!Speak English "well"</t>
  </si>
  <si>
    <t>Estimate!!Total:!!65 years and over:!!Speak Spanish:!!Speak English "not well"</t>
  </si>
  <si>
    <t>'B16004_051',</t>
  </si>
  <si>
    <t>B16004_051</t>
  </si>
  <si>
    <t>!!65 years and over:!!Speak Spanish:!!Speak English "not well"</t>
  </si>
  <si>
    <t>Estimate!!Total:!!65 years and over:!!Speak Spanish:!!Speak English "not at all"</t>
  </si>
  <si>
    <t>'B16004_052',</t>
  </si>
  <si>
    <t>B16004_052</t>
  </si>
  <si>
    <t>!!65 years and over:!!Speak Spanish:!!Speak English "not at all"</t>
  </si>
  <si>
    <t>Estimate!!Total:!!65 years and over:!!Speak other Indo-European languages:</t>
  </si>
  <si>
    <t>'B16004_053',</t>
  </si>
  <si>
    <t>B16004_053</t>
  </si>
  <si>
    <t>!!65 years and over:!!Speak other Indo-European languages:</t>
  </si>
  <si>
    <t>Estimate!!Total:!!65 years and over:!!Speak other Indo-European languages:!!Speak English "very well"</t>
  </si>
  <si>
    <t>'B16004_054',</t>
  </si>
  <si>
    <t>B16004_054</t>
  </si>
  <si>
    <t>!!65 years and over:!!Speak other Indo-European languages:!!Speak English "very well"</t>
  </si>
  <si>
    <t>Estimate!!Total:!!65 years and over:!!Speak other Indo-European languages:!!Speak English "well"</t>
  </si>
  <si>
    <t>'B16004_055',</t>
  </si>
  <si>
    <t>B16004_055</t>
  </si>
  <si>
    <t>!!65 years and over:!!Speak other Indo-European languages:!!Speak English "well"</t>
  </si>
  <si>
    <t>Estimate!!Total:!!65 years and over:!!Speak other Indo-European languages:!!Speak English "not well"</t>
  </si>
  <si>
    <t>'B16004_056',</t>
  </si>
  <si>
    <t>B16004_056</t>
  </si>
  <si>
    <t>!!65 years and over:!!Speak other Indo-European languages:!!Speak English "not well"</t>
  </si>
  <si>
    <t>Estimate!!Total:!!65 years and over:!!Speak other Indo-European languages:!!Speak English "not at all"</t>
  </si>
  <si>
    <t>'B16004_057',</t>
  </si>
  <si>
    <t>B16004_057</t>
  </si>
  <si>
    <t>!!65 years and over:!!Speak other Indo-European languages:!!Speak English "not at all"</t>
  </si>
  <si>
    <t>Estimate!!Total:!!65 years and over:!!Speak Asian and Pacific Island languages:</t>
  </si>
  <si>
    <t>'B16004_058',</t>
  </si>
  <si>
    <t>B16004_058</t>
  </si>
  <si>
    <t>!!65 years and over:!!Speak Asian and Pacific Island languages:</t>
  </si>
  <si>
    <t>Estimate!!Total:!!65 years and over:!!Speak Asian and Pacific Island languages:!!Speak English "very well"</t>
  </si>
  <si>
    <t>'B16004_059',</t>
  </si>
  <si>
    <t>B16004_059</t>
  </si>
  <si>
    <t>!!65 years and over:!!Speak Asian and Pacific Island languages:!!Speak English "very well"</t>
  </si>
  <si>
    <t>Estimate!!Total:!!65 years and over:!!Speak Asian and Pacific Island languages:!!Speak English "well"</t>
  </si>
  <si>
    <t>'B16004_060',</t>
  </si>
  <si>
    <t>B16004_060</t>
  </si>
  <si>
    <t>!!65 years and over:!!Speak Asian and Pacific Island languages:!!Speak English "well"</t>
  </si>
  <si>
    <t>Estimate!!Total:!!65 years and over:!!Speak Asian and Pacific Island languages:!!Speak English "not well"</t>
  </si>
  <si>
    <t>'B16004_061',</t>
  </si>
  <si>
    <t>B16004_061</t>
  </si>
  <si>
    <t>!!65 years and over:!!Speak Asian and Pacific Island languages:!!Speak English "not well"</t>
  </si>
  <si>
    <t>Estimate!!Total:!!65 years and over:!!Speak Asian and Pacific Island languages:!!Speak English "not at all"</t>
  </si>
  <si>
    <t>'B16004_062',</t>
  </si>
  <si>
    <t>B16004_062</t>
  </si>
  <si>
    <t>!!65 years and over:!!Speak Asian and Pacific Island languages:!!Speak English "not at all"</t>
  </si>
  <si>
    <t>Estimate!!Total:!!65 years and over:!!Speak other languages:</t>
  </si>
  <si>
    <t>'B16004_063',</t>
  </si>
  <si>
    <t>B16004_063</t>
  </si>
  <si>
    <t>!!65 years and over:!!Speak other languages:</t>
  </si>
  <si>
    <t>Estimate!!Total:!!65 years and over:!!Speak other languages:!!Speak English "very well"</t>
  </si>
  <si>
    <t>'B16004_064',</t>
  </si>
  <si>
    <t>B16004_064</t>
  </si>
  <si>
    <t>!!65 years and over:!!Speak other languages:!!Speak English "very well"</t>
  </si>
  <si>
    <t>Estimate!!Total:!!65 years and over:!!Speak other languages:!!Speak English "well"</t>
  </si>
  <si>
    <t>'B16004_065',</t>
  </si>
  <si>
    <t>B16004_065</t>
  </si>
  <si>
    <t>!!65 years and over:!!Speak other languages:!!Speak English "well"</t>
  </si>
  <si>
    <t>Estimate!!Total:!!65 years and over:!!Speak other languages:!!Speak English "not well"</t>
  </si>
  <si>
    <t>'B16004_066',</t>
  </si>
  <si>
    <t>B16004_066</t>
  </si>
  <si>
    <t>!!65 years and over:!!Speak other languages:!!Speak English "not well"</t>
  </si>
  <si>
    <t>Estimate!!Total:!!65 years and over:!!Speak other languages:!!Speak English "not at all"</t>
  </si>
  <si>
    <t>'B16004_067',</t>
  </si>
  <si>
    <t>B16004_067</t>
  </si>
  <si>
    <t>!!65 years and over:!!Speak other languages:!!Speak English "not at all"</t>
  </si>
  <si>
    <t>Nativity by Language Spoken at Home by Ability to Speak English for the Population 5 Years and Over (White Alone)</t>
  </si>
  <si>
    <t>'B16005A_001',</t>
  </si>
  <si>
    <t>B16005A_001</t>
  </si>
  <si>
    <t>Estimate!!Total:!!Native:</t>
  </si>
  <si>
    <t>'B16005A_002',</t>
  </si>
  <si>
    <t>B16005A_002</t>
  </si>
  <si>
    <t>!!Native:</t>
  </si>
  <si>
    <t>Estimate!!Total:!!Native:!!Speak only English</t>
  </si>
  <si>
    <t>'B16005A_003',</t>
  </si>
  <si>
    <t>B16005A_003</t>
  </si>
  <si>
    <t>!!Native:!!Speak only English</t>
  </si>
  <si>
    <t>Estimate!!Total:!!Native:!!Speak another language:</t>
  </si>
  <si>
    <t>'B16005A_004',</t>
  </si>
  <si>
    <t>B16005A_004</t>
  </si>
  <si>
    <t>!!Native:!!Speak another language:</t>
  </si>
  <si>
    <t>Estimate!!Total:!!Native:!!Speak another language:!!Speak English "very well"</t>
  </si>
  <si>
    <t>'B16005A_005',</t>
  </si>
  <si>
    <t>B16005A_005</t>
  </si>
  <si>
    <t>!!Native:!!Speak another language:!!Speak English "very well"</t>
  </si>
  <si>
    <t>Estimate!!Total:!!Native:!!Speak another language:!!Speak English less than "very well"</t>
  </si>
  <si>
    <t>'B16005A_006',</t>
  </si>
  <si>
    <t>B16005A_006</t>
  </si>
  <si>
    <t>!!Native:!!Speak another language:!!Speak English less than "very well"</t>
  </si>
  <si>
    <t>Estimate!!Total:!!Foreign born:</t>
  </si>
  <si>
    <t>'B16005A_007',</t>
  </si>
  <si>
    <t>B16005A_007</t>
  </si>
  <si>
    <t>!!Foreign born:</t>
  </si>
  <si>
    <t>Estimate!!Total:!!Foreign born:!!Speak only English</t>
  </si>
  <si>
    <t>'B16005A_008',</t>
  </si>
  <si>
    <t>B16005A_008</t>
  </si>
  <si>
    <t>!!Foreign born:!!Speak only English</t>
  </si>
  <si>
    <t>Estimate!!Total:!!Foreign born:!!Speak another language:</t>
  </si>
  <si>
    <t>'B16005A_009',</t>
  </si>
  <si>
    <t>B16005A_009</t>
  </si>
  <si>
    <t>!!Foreign born:!!Speak another language:</t>
  </si>
  <si>
    <t>Estimate!!Total:!!Foreign born:!!Speak another language:!!Speak English "very well"</t>
  </si>
  <si>
    <t>'B16005A_010',</t>
  </si>
  <si>
    <t>B16005A_010</t>
  </si>
  <si>
    <t>!!Foreign born:!!Speak another language:!!Speak English "very well"</t>
  </si>
  <si>
    <t>Estimate!!Total:!!Foreign born:!!Speak another language:!!Speak English less than "very well"</t>
  </si>
  <si>
    <t>'B16005A_011',</t>
  </si>
  <si>
    <t>B16005A_011</t>
  </si>
  <si>
    <t>!!Foreign born:!!Speak another language:!!Speak English less than "very well"</t>
  </si>
  <si>
    <t>Nativity by Language Spoken at Home by Ability to Speak English for the Population 5 Years and Over (Black or African American Alone)</t>
  </si>
  <si>
    <t>'B16005B_001',</t>
  </si>
  <si>
    <t>B16005B_001</t>
  </si>
  <si>
    <t>'B16005B_002',</t>
  </si>
  <si>
    <t>B16005B_002</t>
  </si>
  <si>
    <t>'B16005B_003',</t>
  </si>
  <si>
    <t>B16005B_003</t>
  </si>
  <si>
    <t>'B16005B_004',</t>
  </si>
  <si>
    <t>B16005B_004</t>
  </si>
  <si>
    <t>'B16005B_005',</t>
  </si>
  <si>
    <t>B16005B_005</t>
  </si>
  <si>
    <t>'B16005B_006',</t>
  </si>
  <si>
    <t>B16005B_006</t>
  </si>
  <si>
    <t>'B16005B_007',</t>
  </si>
  <si>
    <t>B16005B_007</t>
  </si>
  <si>
    <t>'B16005B_008',</t>
  </si>
  <si>
    <t>B16005B_008</t>
  </si>
  <si>
    <t>'B16005B_009',</t>
  </si>
  <si>
    <t>B16005B_009</t>
  </si>
  <si>
    <t>'B16005B_010',</t>
  </si>
  <si>
    <t>B16005B_010</t>
  </si>
  <si>
    <t>'B16005B_011',</t>
  </si>
  <si>
    <t>B16005B_011</t>
  </si>
  <si>
    <t>Nativity by Language Spoken at Home by Ability to Speak English for the Population 5 Years and Over (American Indian and Alaska Native Alone)</t>
  </si>
  <si>
    <t>'B16005C_001',</t>
  </si>
  <si>
    <t>B16005C_001</t>
  </si>
  <si>
    <t>'B16005C_002',</t>
  </si>
  <si>
    <t>B16005C_002</t>
  </si>
  <si>
    <t>'B16005C_003',</t>
  </si>
  <si>
    <t>B16005C_003</t>
  </si>
  <si>
    <t>'B16005C_004',</t>
  </si>
  <si>
    <t>B16005C_004</t>
  </si>
  <si>
    <t>'B16005C_005',</t>
  </si>
  <si>
    <t>B16005C_005</t>
  </si>
  <si>
    <t>'B16005C_006',</t>
  </si>
  <si>
    <t>B16005C_006</t>
  </si>
  <si>
    <t>'B16005C_007',</t>
  </si>
  <si>
    <t>B16005C_007</t>
  </si>
  <si>
    <t>'B16005C_008',</t>
  </si>
  <si>
    <t>B16005C_008</t>
  </si>
  <si>
    <t>'B16005C_009',</t>
  </si>
  <si>
    <t>B16005C_009</t>
  </si>
  <si>
    <t>'B16005C_010',</t>
  </si>
  <si>
    <t>B16005C_010</t>
  </si>
  <si>
    <t>'B16005C_011',</t>
  </si>
  <si>
    <t>B16005C_011</t>
  </si>
  <si>
    <t>Nativity by Language Spoken at Home by Ability to Speak English for the Population 5 Years and Over (Asian Alone)</t>
  </si>
  <si>
    <t>'B16005D_001',</t>
  </si>
  <si>
    <t>B16005D_001</t>
  </si>
  <si>
    <t>'B16005D_002',</t>
  </si>
  <si>
    <t>B16005D_002</t>
  </si>
  <si>
    <t>'B16005D_003',</t>
  </si>
  <si>
    <t>B16005D_003</t>
  </si>
  <si>
    <t>'B16005D_004',</t>
  </si>
  <si>
    <t>B16005D_004</t>
  </si>
  <si>
    <t>'B16005D_005',</t>
  </si>
  <si>
    <t>B16005D_005</t>
  </si>
  <si>
    <t>'B16005D_006',</t>
  </si>
  <si>
    <t>B16005D_006</t>
  </si>
  <si>
    <t>'B16005D_007',</t>
  </si>
  <si>
    <t>B16005D_007</t>
  </si>
  <si>
    <t>'B16005D_008',</t>
  </si>
  <si>
    <t>B16005D_008</t>
  </si>
  <si>
    <t>'B16005D_009',</t>
  </si>
  <si>
    <t>B16005D_009</t>
  </si>
  <si>
    <t>'B16005D_010',</t>
  </si>
  <si>
    <t>B16005D_010</t>
  </si>
  <si>
    <t>'B16005D_011',</t>
  </si>
  <si>
    <t>B16005D_011</t>
  </si>
  <si>
    <t>Nativity by Language Spoken at Home by Ability to Speak English for the Population 5 Years and Over (Native Hawaiian and Other Pacific Islander Alone)</t>
  </si>
  <si>
    <t>'B16005E_001',</t>
  </si>
  <si>
    <t>B16005E_001</t>
  </si>
  <si>
    <t>'B16005E_002',</t>
  </si>
  <si>
    <t>B16005E_002</t>
  </si>
  <si>
    <t>'B16005E_003',</t>
  </si>
  <si>
    <t>B16005E_003</t>
  </si>
  <si>
    <t>'B16005E_004',</t>
  </si>
  <si>
    <t>B16005E_004</t>
  </si>
  <si>
    <t>'B16005E_005',</t>
  </si>
  <si>
    <t>B16005E_005</t>
  </si>
  <si>
    <t>'B16005E_006',</t>
  </si>
  <si>
    <t>B16005E_006</t>
  </si>
  <si>
    <t>'B16005E_007',</t>
  </si>
  <si>
    <t>B16005E_007</t>
  </si>
  <si>
    <t>'B16005E_008',</t>
  </si>
  <si>
    <t>B16005E_008</t>
  </si>
  <si>
    <t>'B16005E_009',</t>
  </si>
  <si>
    <t>B16005E_009</t>
  </si>
  <si>
    <t>'B16005E_010',</t>
  </si>
  <si>
    <t>B16005E_010</t>
  </si>
  <si>
    <t>'B16005E_011',</t>
  </si>
  <si>
    <t>B16005E_011</t>
  </si>
  <si>
    <t>Nativity by Language Spoken at Home by Ability to Speak English for the Population 5 Years and Over (Some Other Race Alone)</t>
  </si>
  <si>
    <t>'B16005F_001',</t>
  </si>
  <si>
    <t>B16005F_001</t>
  </si>
  <si>
    <t>'B16005F_002',</t>
  </si>
  <si>
    <t>B16005F_002</t>
  </si>
  <si>
    <t>'B16005F_003',</t>
  </si>
  <si>
    <t>B16005F_003</t>
  </si>
  <si>
    <t>'B16005F_004',</t>
  </si>
  <si>
    <t>B16005F_004</t>
  </si>
  <si>
    <t>'B16005F_005',</t>
  </si>
  <si>
    <t>B16005F_005</t>
  </si>
  <si>
    <t>'B16005F_006',</t>
  </si>
  <si>
    <t>B16005F_006</t>
  </si>
  <si>
    <t>'B16005F_007',</t>
  </si>
  <si>
    <t>B16005F_007</t>
  </si>
  <si>
    <t>'B16005F_008',</t>
  </si>
  <si>
    <t>B16005F_008</t>
  </si>
  <si>
    <t>'B16005F_009',</t>
  </si>
  <si>
    <t>B16005F_009</t>
  </si>
  <si>
    <t>'B16005F_010',</t>
  </si>
  <si>
    <t>B16005F_010</t>
  </si>
  <si>
    <t>'B16005F_011',</t>
  </si>
  <si>
    <t>B16005F_011</t>
  </si>
  <si>
    <t>Nativity by Language Spoken at Home by Ability to Speak English for the Population 5 Years and Over (Two or More Races)</t>
  </si>
  <si>
    <t>'B16005G_001',</t>
  </si>
  <si>
    <t>B16005G_001</t>
  </si>
  <si>
    <t>'B16005G_002',</t>
  </si>
  <si>
    <t>B16005G_002</t>
  </si>
  <si>
    <t>'B16005G_003',</t>
  </si>
  <si>
    <t>B16005G_003</t>
  </si>
  <si>
    <t>'B16005G_004',</t>
  </si>
  <si>
    <t>B16005G_004</t>
  </si>
  <si>
    <t>'B16005G_005',</t>
  </si>
  <si>
    <t>B16005G_005</t>
  </si>
  <si>
    <t>'B16005G_006',</t>
  </si>
  <si>
    <t>B16005G_006</t>
  </si>
  <si>
    <t>'B16005G_007',</t>
  </si>
  <si>
    <t>B16005G_007</t>
  </si>
  <si>
    <t>'B16005G_008',</t>
  </si>
  <si>
    <t>B16005G_008</t>
  </si>
  <si>
    <t>'B16005G_009',</t>
  </si>
  <si>
    <t>B16005G_009</t>
  </si>
  <si>
    <t>'B16005G_010',</t>
  </si>
  <si>
    <t>B16005G_010</t>
  </si>
  <si>
    <t>'B16005G_011',</t>
  </si>
  <si>
    <t>B16005G_011</t>
  </si>
  <si>
    <t>Nativity by Language Spoken at Home by Ability to Speak English for the Population 5 Years and Over (White Alone, Not Hispanic or Latino)</t>
  </si>
  <si>
    <t>'B16005H_001',</t>
  </si>
  <si>
    <t>B16005H_001</t>
  </si>
  <si>
    <t>'B16005H_002',</t>
  </si>
  <si>
    <t>B16005H_002</t>
  </si>
  <si>
    <t>'B16005H_003',</t>
  </si>
  <si>
    <t>B16005H_003</t>
  </si>
  <si>
    <t>'B16005H_004',</t>
  </si>
  <si>
    <t>B16005H_004</t>
  </si>
  <si>
    <t>'B16005H_005',</t>
  </si>
  <si>
    <t>B16005H_005</t>
  </si>
  <si>
    <t>'B16005H_006',</t>
  </si>
  <si>
    <t>B16005H_006</t>
  </si>
  <si>
    <t>'B16005H_007',</t>
  </si>
  <si>
    <t>B16005H_007</t>
  </si>
  <si>
    <t>'B16005H_008',</t>
  </si>
  <si>
    <t>B16005H_008</t>
  </si>
  <si>
    <t>'B16005H_009',</t>
  </si>
  <si>
    <t>B16005H_009</t>
  </si>
  <si>
    <t>'B16005H_010',</t>
  </si>
  <si>
    <t>B16005H_010</t>
  </si>
  <si>
    <t>'B16005H_011',</t>
  </si>
  <si>
    <t>B16005H_011</t>
  </si>
  <si>
    <t>Nativity by Language Spoken at Home by Ability to Speak English for the Population 5 Years and Over (Hispanic or Latino)</t>
  </si>
  <si>
    <t>'B16005I_001',</t>
  </si>
  <si>
    <t>B16005I_001</t>
  </si>
  <si>
    <t>'B16005I_002',</t>
  </si>
  <si>
    <t>B16005I_002</t>
  </si>
  <si>
    <t>'B16005I_003',</t>
  </si>
  <si>
    <t>B16005I_003</t>
  </si>
  <si>
    <t>'B16005I_004',</t>
  </si>
  <si>
    <t>B16005I_004</t>
  </si>
  <si>
    <t>'B16005I_005',</t>
  </si>
  <si>
    <t>B16005I_005</t>
  </si>
  <si>
    <t>'B16005I_006',</t>
  </si>
  <si>
    <t>B16005I_006</t>
  </si>
  <si>
    <t>'B16005I_007',</t>
  </si>
  <si>
    <t>B16005I_007</t>
  </si>
  <si>
    <t>'B16005I_008',</t>
  </si>
  <si>
    <t>B16005I_008</t>
  </si>
  <si>
    <t>'B16005I_009',</t>
  </si>
  <si>
    <t>B16005I_009</t>
  </si>
  <si>
    <t>'B16005I_010',</t>
  </si>
  <si>
    <t>B16005I_010</t>
  </si>
  <si>
    <t>'B16005I_011',</t>
  </si>
  <si>
    <t>B16005I_011</t>
  </si>
  <si>
    <t>Nativity by Language Spoken at Home by Ability to Speak English for the Population 5 Years and Over</t>
  </si>
  <si>
    <t>'B16005_001',</t>
  </si>
  <si>
    <t>B16005_001</t>
  </si>
  <si>
    <t>'B16005_002',</t>
  </si>
  <si>
    <t>B16005_002</t>
  </si>
  <si>
    <t>'B16005_003',</t>
  </si>
  <si>
    <t>B16005_003</t>
  </si>
  <si>
    <t>Estimate!!Total:!!Native:!!Speak Spanish:</t>
  </si>
  <si>
    <t>'B16005_004',</t>
  </si>
  <si>
    <t>B16005_004</t>
  </si>
  <si>
    <t>!!Native:!!Speak Spanish:</t>
  </si>
  <si>
    <t>Estimate!!Total:!!Native:!!Speak Spanish:!!Speak English "very well"</t>
  </si>
  <si>
    <t>'B16005_005',</t>
  </si>
  <si>
    <t>B16005_005</t>
  </si>
  <si>
    <t>!!Native:!!Speak Spanish:!!Speak English "very well"</t>
  </si>
  <si>
    <t>Estimate!!Total:!!Native:!!Speak Spanish:!!Speak English "well"</t>
  </si>
  <si>
    <t>'B16005_006',</t>
  </si>
  <si>
    <t>B16005_006</t>
  </si>
  <si>
    <t>!!Native:!!Speak Spanish:!!Speak English "well"</t>
  </si>
  <si>
    <t>Estimate!!Total:!!Native:!!Speak Spanish:!!Speak English "not well"</t>
  </si>
  <si>
    <t>'B16005_007',</t>
  </si>
  <si>
    <t>B16005_007</t>
  </si>
  <si>
    <t>!!Native:!!Speak Spanish:!!Speak English "not well"</t>
  </si>
  <si>
    <t>Estimate!!Total:!!Native:!!Speak Spanish:!!Speak English "not at all"</t>
  </si>
  <si>
    <t>'B16005_008',</t>
  </si>
  <si>
    <t>B16005_008</t>
  </si>
  <si>
    <t>!!Native:!!Speak Spanish:!!Speak English "not at all"</t>
  </si>
  <si>
    <t>Estimate!!Total:!!Native:!!Speak other Indo-European languages:</t>
  </si>
  <si>
    <t>'B16005_009',</t>
  </si>
  <si>
    <t>B16005_009</t>
  </si>
  <si>
    <t>!!Native:!!Speak other Indo-European languages:</t>
  </si>
  <si>
    <t>Estimate!!Total:!!Native:!!Speak other Indo-European languages:!!Speak English "very well"</t>
  </si>
  <si>
    <t>'B16005_010',</t>
  </si>
  <si>
    <t>B16005_010</t>
  </si>
  <si>
    <t>!!Native:!!Speak other Indo-European languages:!!Speak English "very well"</t>
  </si>
  <si>
    <t>Estimate!!Total:!!Native:!!Speak other Indo-European languages:!!Speak English "well"</t>
  </si>
  <si>
    <t>'B16005_011',</t>
  </si>
  <si>
    <t>B16005_011</t>
  </si>
  <si>
    <t>!!Native:!!Speak other Indo-European languages:!!Speak English "well"</t>
  </si>
  <si>
    <t>Estimate!!Total:!!Native:!!Speak other Indo-European languages:!!Speak English "not well"</t>
  </si>
  <si>
    <t>'B16005_012',</t>
  </si>
  <si>
    <t>B16005_012</t>
  </si>
  <si>
    <t>!!Native:!!Speak other Indo-European languages:!!Speak English "not well"</t>
  </si>
  <si>
    <t>Estimate!!Total:!!Native:!!Speak other Indo-European languages:!!Speak English "not at all"</t>
  </si>
  <si>
    <t>'B16005_013',</t>
  </si>
  <si>
    <t>B16005_013</t>
  </si>
  <si>
    <t>!!Native:!!Speak other Indo-European languages:!!Speak English "not at all"</t>
  </si>
  <si>
    <t>Estimate!!Total:!!Native:!!Speak Asian and Pacific Island languages:</t>
  </si>
  <si>
    <t>'B16005_014',</t>
  </si>
  <si>
    <t>B16005_014</t>
  </si>
  <si>
    <t>!!Native:!!Speak Asian and Pacific Island languages:</t>
  </si>
  <si>
    <t>Estimate!!Total:!!Native:!!Speak Asian and Pacific Island languages:!!Speak English "very well"</t>
  </si>
  <si>
    <t>'B16005_015',</t>
  </si>
  <si>
    <t>B16005_015</t>
  </si>
  <si>
    <t>!!Native:!!Speak Asian and Pacific Island languages:!!Speak English "very well"</t>
  </si>
  <si>
    <t>Estimate!!Total:!!Native:!!Speak Asian and Pacific Island languages:!!Speak English "well"</t>
  </si>
  <si>
    <t>'B16005_016',</t>
  </si>
  <si>
    <t>B16005_016</t>
  </si>
  <si>
    <t>!!Native:!!Speak Asian and Pacific Island languages:!!Speak English "well"</t>
  </si>
  <si>
    <t>Estimate!!Total:!!Native:!!Speak Asian and Pacific Island languages:!!Speak English "not well"</t>
  </si>
  <si>
    <t>'B16005_017',</t>
  </si>
  <si>
    <t>B16005_017</t>
  </si>
  <si>
    <t>!!Native:!!Speak Asian and Pacific Island languages:!!Speak English "not well"</t>
  </si>
  <si>
    <t>Estimate!!Total:!!Native:!!Speak Asian and Pacific Island languages:!!Speak English "not at all"</t>
  </si>
  <si>
    <t>'B16005_018',</t>
  </si>
  <si>
    <t>B16005_018</t>
  </si>
  <si>
    <t>!!Native:!!Speak Asian and Pacific Island languages:!!Speak English "not at all"</t>
  </si>
  <si>
    <t>Estimate!!Total:!!Native:!!Speak other languages:</t>
  </si>
  <si>
    <t>'B16005_019',</t>
  </si>
  <si>
    <t>B16005_019</t>
  </si>
  <si>
    <t>!!Native:!!Speak other languages:</t>
  </si>
  <si>
    <t>Estimate!!Total:!!Native:!!Speak other languages:!!Speak English "very well"</t>
  </si>
  <si>
    <t>'B16005_020',</t>
  </si>
  <si>
    <t>B16005_020</t>
  </si>
  <si>
    <t>!!Native:!!Speak other languages:!!Speak English "very well"</t>
  </si>
  <si>
    <t>Estimate!!Total:!!Native:!!Speak other languages:!!Speak English "well"</t>
  </si>
  <si>
    <t>'B16005_021',</t>
  </si>
  <si>
    <t>B16005_021</t>
  </si>
  <si>
    <t>!!Native:!!Speak other languages:!!Speak English "well"</t>
  </si>
  <si>
    <t>Estimate!!Total:!!Native:!!Speak other languages:!!Speak English "not well"</t>
  </si>
  <si>
    <t>'B16005_022',</t>
  </si>
  <si>
    <t>B16005_022</t>
  </si>
  <si>
    <t>!!Native:!!Speak other languages:!!Speak English "not well"</t>
  </si>
  <si>
    <t>Estimate!!Total:!!Native:!!Speak other languages:!!Speak English "not at all"</t>
  </si>
  <si>
    <t>'B16005_023',</t>
  </si>
  <si>
    <t>B16005_023</t>
  </si>
  <si>
    <t>!!Native:!!Speak other languages:!!Speak English "not at all"</t>
  </si>
  <si>
    <t>'B16005_024',</t>
  </si>
  <si>
    <t>B16005_024</t>
  </si>
  <si>
    <t>'B16005_025',</t>
  </si>
  <si>
    <t>B16005_025</t>
  </si>
  <si>
    <t>Estimate!!Total:!!Foreign born:!!Speak Spanish:</t>
  </si>
  <si>
    <t>'B16005_026',</t>
  </si>
  <si>
    <t>B16005_026</t>
  </si>
  <si>
    <t>!!Foreign born:!!Speak Spanish:</t>
  </si>
  <si>
    <t>Estimate!!Total:!!Foreign born:!!Speak Spanish:!!Speak English "very well"</t>
  </si>
  <si>
    <t>'B16005_027',</t>
  </si>
  <si>
    <t>B16005_027</t>
  </si>
  <si>
    <t>!!Foreign born:!!Speak Spanish:!!Speak English "very well"</t>
  </si>
  <si>
    <t>Estimate!!Total:!!Foreign born:!!Speak Spanish:!!Speak English "well"</t>
  </si>
  <si>
    <t>'B16005_028',</t>
  </si>
  <si>
    <t>B16005_028</t>
  </si>
  <si>
    <t>!!Foreign born:!!Speak Spanish:!!Speak English "well"</t>
  </si>
  <si>
    <t>Estimate!!Total:!!Foreign born:!!Speak Spanish:!!Speak English "not well"</t>
  </si>
  <si>
    <t>'B16005_029',</t>
  </si>
  <si>
    <t>B16005_029</t>
  </si>
  <si>
    <t>!!Foreign born:!!Speak Spanish:!!Speak English "not well"</t>
  </si>
  <si>
    <t>Estimate!!Total:!!Foreign born:!!Speak Spanish:!!Speak English "not at all"</t>
  </si>
  <si>
    <t>'B16005_030',</t>
  </si>
  <si>
    <t>B16005_030</t>
  </si>
  <si>
    <t>!!Foreign born:!!Speak Spanish:!!Speak English "not at all"</t>
  </si>
  <si>
    <t>Estimate!!Total:!!Foreign born:!!Speak other Indo-European languages:</t>
  </si>
  <si>
    <t>'B16005_031',</t>
  </si>
  <si>
    <t>B16005_031</t>
  </si>
  <si>
    <t>!!Foreign born:!!Speak other Indo-European languages:</t>
  </si>
  <si>
    <t>Estimate!!Total:!!Foreign born:!!Speak other Indo-European languages:!!Speak English "very well"</t>
  </si>
  <si>
    <t>'B16005_032',</t>
  </si>
  <si>
    <t>B16005_032</t>
  </si>
  <si>
    <t>!!Foreign born:!!Speak other Indo-European languages:!!Speak English "very well"</t>
  </si>
  <si>
    <t>Estimate!!Total:!!Foreign born:!!Speak other Indo-European languages:!!Speak English "well"</t>
  </si>
  <si>
    <t>'B16005_033',</t>
  </si>
  <si>
    <t>B16005_033</t>
  </si>
  <si>
    <t>!!Foreign born:!!Speak other Indo-European languages:!!Speak English "well"</t>
  </si>
  <si>
    <t>Estimate!!Total:!!Foreign born:!!Speak other Indo-European languages:!!Speak English "not well"</t>
  </si>
  <si>
    <t>'B16005_034',</t>
  </si>
  <si>
    <t>B16005_034</t>
  </si>
  <si>
    <t>!!Foreign born:!!Speak other Indo-European languages:!!Speak English "not well"</t>
  </si>
  <si>
    <t>Estimate!!Total:!!Foreign born:!!Speak other Indo-European languages:!!Speak English "not at all"</t>
  </si>
  <si>
    <t>'B16005_035',</t>
  </si>
  <si>
    <t>B16005_035</t>
  </si>
  <si>
    <t>!!Foreign born:!!Speak other Indo-European languages:!!Speak English "not at all"</t>
  </si>
  <si>
    <t>Estimate!!Total:!!Foreign born:!!Speak Asian and Pacific Island languages:</t>
  </si>
  <si>
    <t>'B16005_036',</t>
  </si>
  <si>
    <t>B16005_036</t>
  </si>
  <si>
    <t>!!Foreign born:!!Speak Asian and Pacific Island languages:</t>
  </si>
  <si>
    <t>Estimate!!Total:!!Foreign born:!!Speak Asian and Pacific Island languages:!!Speak English "very well"</t>
  </si>
  <si>
    <t>'B16005_037',</t>
  </si>
  <si>
    <t>B16005_037</t>
  </si>
  <si>
    <t>!!Foreign born:!!Speak Asian and Pacific Island languages:!!Speak English "very well"</t>
  </si>
  <si>
    <t>Estimate!!Total:!!Foreign born:!!Speak Asian and Pacific Island languages:!!Speak English "well"</t>
  </si>
  <si>
    <t>'B16005_038',</t>
  </si>
  <si>
    <t>B16005_038</t>
  </si>
  <si>
    <t>!!Foreign born:!!Speak Asian and Pacific Island languages:!!Speak English "well"</t>
  </si>
  <si>
    <t>Estimate!!Total:!!Foreign born:!!Speak Asian and Pacific Island languages:!!Speak English "not well"</t>
  </si>
  <si>
    <t>'B16005_039',</t>
  </si>
  <si>
    <t>B16005_039</t>
  </si>
  <si>
    <t>!!Foreign born:!!Speak Asian and Pacific Island languages:!!Speak English "not well"</t>
  </si>
  <si>
    <t>Estimate!!Total:!!Foreign born:!!Speak Asian and Pacific Island languages:!!Speak English "not at all"</t>
  </si>
  <si>
    <t>'B16005_040',</t>
  </si>
  <si>
    <t>B16005_040</t>
  </si>
  <si>
    <t>!!Foreign born:!!Speak Asian and Pacific Island languages:!!Speak English "not at all"</t>
  </si>
  <si>
    <t>Estimate!!Total:!!Foreign born:!!Speak other languages:</t>
  </si>
  <si>
    <t>'B16005_041',</t>
  </si>
  <si>
    <t>B16005_041</t>
  </si>
  <si>
    <t>!!Foreign born:!!Speak other languages:</t>
  </si>
  <si>
    <t>Estimate!!Total:!!Foreign born:!!Speak other languages:!!Speak English "very well"</t>
  </si>
  <si>
    <t>'B16005_042',</t>
  </si>
  <si>
    <t>B16005_042</t>
  </si>
  <si>
    <t>!!Foreign born:!!Speak other languages:!!Speak English "very well"</t>
  </si>
  <si>
    <t>Estimate!!Total:!!Foreign born:!!Speak other languages:!!Speak English "well"</t>
  </si>
  <si>
    <t>'B16005_043',</t>
  </si>
  <si>
    <t>B16005_043</t>
  </si>
  <si>
    <t>!!Foreign born:!!Speak other languages:!!Speak English "well"</t>
  </si>
  <si>
    <t>Estimate!!Total:!!Foreign born:!!Speak other languages:!!Speak English "not well"</t>
  </si>
  <si>
    <t>'B16005_044',</t>
  </si>
  <si>
    <t>B16005_044</t>
  </si>
  <si>
    <t>!!Foreign born:!!Speak other languages:!!Speak English "not well"</t>
  </si>
  <si>
    <t>Estimate!!Total:!!Foreign born:!!Speak other languages:!!Speak English "not at all"</t>
  </si>
  <si>
    <t>'B16005_045',</t>
  </si>
  <si>
    <t>B16005_045</t>
  </si>
  <si>
    <t>!!Foreign born:!!Speak other languages:!!Speak English "not at all"</t>
  </si>
  <si>
    <t>Language Spoken at Home by Ability to Speak English for the Population 5 Years and Over (Hispanic or Latino)</t>
  </si>
  <si>
    <t>'B16006_001',</t>
  </si>
  <si>
    <t>B16006_001</t>
  </si>
  <si>
    <t>'B16006_002',</t>
  </si>
  <si>
    <t>B16006_002</t>
  </si>
  <si>
    <t>Estimate!!Total:!!Speak Spanish:</t>
  </si>
  <si>
    <t>'B16006_003',</t>
  </si>
  <si>
    <t>B16006_003</t>
  </si>
  <si>
    <t>!!Speak Spanish:</t>
  </si>
  <si>
    <t>Estimate!!Total:!!Speak Spanish:!!Speak English "very well"</t>
  </si>
  <si>
    <t>'B16006_004',</t>
  </si>
  <si>
    <t>B16006_004</t>
  </si>
  <si>
    <t>!!Speak Spanish:!!Speak English "very well"</t>
  </si>
  <si>
    <t>Estimate!!Total:!!Speak Spanish:!!Speak English "well"</t>
  </si>
  <si>
    <t>'B16006_005',</t>
  </si>
  <si>
    <t>B16006_005</t>
  </si>
  <si>
    <t>!!Speak Spanish:!!Speak English "well"</t>
  </si>
  <si>
    <t>Estimate!!Total:!!Speak Spanish:!!Speak English "not well"</t>
  </si>
  <si>
    <t>'B16006_006',</t>
  </si>
  <si>
    <t>B16006_006</t>
  </si>
  <si>
    <t>!!Speak Spanish:!!Speak English "not well"</t>
  </si>
  <si>
    <t>Estimate!!Total:!!Speak Spanish:!!Speak English "not at all"</t>
  </si>
  <si>
    <t>'B16006_007',</t>
  </si>
  <si>
    <t>B16006_007</t>
  </si>
  <si>
    <t>!!Speak Spanish:!!Speak English "not at all"</t>
  </si>
  <si>
    <t>Estimate!!Total:!!Speak other language</t>
  </si>
  <si>
    <t>'B16006_008',</t>
  </si>
  <si>
    <t>B16006_008</t>
  </si>
  <si>
    <t>!!Speak other language</t>
  </si>
  <si>
    <t>Age by Language Spoken at Home for the Population 5 Years and Over</t>
  </si>
  <si>
    <t>'B16007_001',</t>
  </si>
  <si>
    <t>B16007_001</t>
  </si>
  <si>
    <t>'B16007_002',</t>
  </si>
  <si>
    <t>B16007_002</t>
  </si>
  <si>
    <t>'B16007_003',</t>
  </si>
  <si>
    <t>B16007_003</t>
  </si>
  <si>
    <t>'B16007_004',</t>
  </si>
  <si>
    <t>B16007_004</t>
  </si>
  <si>
    <t>'B16007_005',</t>
  </si>
  <si>
    <t>B16007_005</t>
  </si>
  <si>
    <t>'B16007_006',</t>
  </si>
  <si>
    <t>B16007_006</t>
  </si>
  <si>
    <t>'B16007_007',</t>
  </si>
  <si>
    <t>B16007_007</t>
  </si>
  <si>
    <t>'B16007_008',</t>
  </si>
  <si>
    <t>B16007_008</t>
  </si>
  <si>
    <t>'B16007_009',</t>
  </si>
  <si>
    <t>B16007_009</t>
  </si>
  <si>
    <t>Estimate!!Total:!!18 to 64 years:!!Speak Spanish</t>
  </si>
  <si>
    <t>'B16007_010',</t>
  </si>
  <si>
    <t>B16007_010</t>
  </si>
  <si>
    <t>!!18 to 64 years:!!Speak Spanish</t>
  </si>
  <si>
    <t>Estimate!!Total:!!18 to 64 years:!!Speak other Indo-European languages</t>
  </si>
  <si>
    <t>'B16007_011',</t>
  </si>
  <si>
    <t>B16007_011</t>
  </si>
  <si>
    <t>!!18 to 64 years:!!Speak other Indo-European languages</t>
  </si>
  <si>
    <t>Estimate!!Total:!!18 to 64 years:!!Speak Asian and Pacific Island languages</t>
  </si>
  <si>
    <t>'B16007_012',</t>
  </si>
  <si>
    <t>B16007_012</t>
  </si>
  <si>
    <t>!!18 to 64 years:!!Speak Asian and Pacific Island languages</t>
  </si>
  <si>
    <t>Estimate!!Total:!!18 to 64 years:!!Speak other languages</t>
  </si>
  <si>
    <t>'B16007_013',</t>
  </si>
  <si>
    <t>B16007_013</t>
  </si>
  <si>
    <t>!!18 to 64 years:!!Speak other languages</t>
  </si>
  <si>
    <t>'B16007_014',</t>
  </si>
  <si>
    <t>B16007_014</t>
  </si>
  <si>
    <t>'B16007_015',</t>
  </si>
  <si>
    <t>B16007_015</t>
  </si>
  <si>
    <t>Estimate!!Total:!!65 years and over:!!Speak Spanish</t>
  </si>
  <si>
    <t>'B16007_016',</t>
  </si>
  <si>
    <t>B16007_016</t>
  </si>
  <si>
    <t>!!65 years and over:!!Speak Spanish</t>
  </si>
  <si>
    <t>Estimate!!Total:!!65 years and over:!!Speak other Indo-European languages</t>
  </si>
  <si>
    <t>'B16007_017',</t>
  </si>
  <si>
    <t>B16007_017</t>
  </si>
  <si>
    <t>!!65 years and over:!!Speak other Indo-European languages</t>
  </si>
  <si>
    <t>Estimate!!Total:!!65 years and over:!!Speak Asian and Pacific Island languages</t>
  </si>
  <si>
    <t>'B16007_018',</t>
  </si>
  <si>
    <t>B16007_018</t>
  </si>
  <si>
    <t>!!65 years and over:!!Speak Asian and Pacific Island languages</t>
  </si>
  <si>
    <t>Estimate!!Total:!!65 years and over:!!Speak other languages</t>
  </si>
  <si>
    <t>'B16007_019',</t>
  </si>
  <si>
    <t>B16007_019</t>
  </si>
  <si>
    <t>!!65 years and over:!!Speak other languages</t>
  </si>
  <si>
    <t>Citizenship Status by Age by Language Spoken at Home and Ability to Speak English for the Population 5 Years and Over</t>
  </si>
  <si>
    <t>'B16008_001',</t>
  </si>
  <si>
    <t>B16008_001</t>
  </si>
  <si>
    <t>Estimate!!Total:!!Native population:</t>
  </si>
  <si>
    <t>'B16008_002',</t>
  </si>
  <si>
    <t>B16008_002</t>
  </si>
  <si>
    <t>!!Native population:</t>
  </si>
  <si>
    <t>Estimate!!Total:!!Native population:!!5 to 17 years:</t>
  </si>
  <si>
    <t>'B16008_003',</t>
  </si>
  <si>
    <t>B16008_003</t>
  </si>
  <si>
    <t>!!Native population:!!5 to 17 years:</t>
  </si>
  <si>
    <t>Estimate!!Total:!!Native population:!!5 to 17 years:!!Speak only English</t>
  </si>
  <si>
    <t>'B16008_004',</t>
  </si>
  <si>
    <t>B16008_004</t>
  </si>
  <si>
    <t>!!Native population:!!5 to 17 years:!!Speak only English</t>
  </si>
  <si>
    <t>Estimate!!Total:!!Native population:!!5 to 17 years:!!Speak Spanish:</t>
  </si>
  <si>
    <t>'B16008_005',</t>
  </si>
  <si>
    <t>B16008_005</t>
  </si>
  <si>
    <t>!!Native population:!!5 to 17 years:!!Speak Spanish:</t>
  </si>
  <si>
    <t>Estimate!!Total:!!Native population:!!5 to 17 years:!!Speak Spanish:!!Speak English "very well"</t>
  </si>
  <si>
    <t>'B16008_006',</t>
  </si>
  <si>
    <t>B16008_006</t>
  </si>
  <si>
    <t>!!Native population:!!5 to 17 years:!!Speak Spanish:!!Speak English "very well"</t>
  </si>
  <si>
    <t>Estimate!!Total:!!Native population:!!5 to 17 years:!!Speak Spanish:!!Speak English less than "very well"</t>
  </si>
  <si>
    <t>'B16008_007',</t>
  </si>
  <si>
    <t>B16008_007</t>
  </si>
  <si>
    <t>!!Native population:!!5 to 17 years:!!Speak Spanish:!!Speak English less than "very well"</t>
  </si>
  <si>
    <t>Estimate!!Total:!!Native population:!!5 to 17 years:!!Speak other languages:</t>
  </si>
  <si>
    <t>'B16008_008',</t>
  </si>
  <si>
    <t>B16008_008</t>
  </si>
  <si>
    <t>!!Native population:!!5 to 17 years:!!Speak other languages:</t>
  </si>
  <si>
    <t>Estimate!!Total:!!Native population:!!5 to 17 years:!!Speak other languages:!!Speak English "very well"</t>
  </si>
  <si>
    <t>'B16008_009',</t>
  </si>
  <si>
    <t>B16008_009</t>
  </si>
  <si>
    <t>!!Native population:!!5 to 17 years:!!Speak other languages:!!Speak English "very well"</t>
  </si>
  <si>
    <t>Estimate!!Total:!!Native population:!!5 to 17 years:!!Speak other languages:!!Speak English less than "very well"</t>
  </si>
  <si>
    <t>'B16008_010',</t>
  </si>
  <si>
    <t>B16008_010</t>
  </si>
  <si>
    <t>!!Native population:!!5 to 17 years:!!Speak other languages:!!Speak English less than "very well"</t>
  </si>
  <si>
    <t>Estimate!!Total:!!Native population:!!18 years and over:</t>
  </si>
  <si>
    <t>'B16008_011',</t>
  </si>
  <si>
    <t>B16008_011</t>
  </si>
  <si>
    <t>!!Native population:!!18 years and over:</t>
  </si>
  <si>
    <t>Estimate!!Total:!!Native population:!!18 years and over:!!Speak only English</t>
  </si>
  <si>
    <t>'B16008_012',</t>
  </si>
  <si>
    <t>B16008_012</t>
  </si>
  <si>
    <t>!!Native population:!!18 years and over:!!Speak only English</t>
  </si>
  <si>
    <t>Estimate!!Total:!!Native population:!!18 years and over:!!Speak Spanish:</t>
  </si>
  <si>
    <t>'B16008_013',</t>
  </si>
  <si>
    <t>B16008_013</t>
  </si>
  <si>
    <t>!!Native population:!!18 years and over:!!Speak Spanish:</t>
  </si>
  <si>
    <t>Estimate!!Total:!!Native population:!!18 years and over:!!Speak Spanish:!!Speak English "very well"</t>
  </si>
  <si>
    <t>'B16008_014',</t>
  </si>
  <si>
    <t>B16008_014</t>
  </si>
  <si>
    <t>!!Native population:!!18 years and over:!!Speak Spanish:!!Speak English "very well"</t>
  </si>
  <si>
    <t>Estimate!!Total:!!Native population:!!18 years and over:!!Speak Spanish:!!Speak English less than "very well"</t>
  </si>
  <si>
    <t>'B16008_015',</t>
  </si>
  <si>
    <t>B16008_015</t>
  </si>
  <si>
    <t>!!Native population:!!18 years and over:!!Speak Spanish:!!Speak English less than "very well"</t>
  </si>
  <si>
    <t>Estimate!!Total:!!Native population:!!18 years and over:!!Speak other languages:</t>
  </si>
  <si>
    <t>'B16008_016',</t>
  </si>
  <si>
    <t>B16008_016</t>
  </si>
  <si>
    <t>!!Native population:!!18 years and over:!!Speak other languages:</t>
  </si>
  <si>
    <t>Estimate!!Total:!!Native population:!!18 years and over:!!Speak other languages:!!Speak English "very well"</t>
  </si>
  <si>
    <t>'B16008_017',</t>
  </si>
  <si>
    <t>B16008_017</t>
  </si>
  <si>
    <t>!!Native population:!!18 years and over:!!Speak other languages:!!Speak English "very well"</t>
  </si>
  <si>
    <t>Estimate!!Total:!!Native population:!!18 years and over:!!Speak other languages:!!Speak English less than "very well"</t>
  </si>
  <si>
    <t>'B16008_018',</t>
  </si>
  <si>
    <t>B16008_018</t>
  </si>
  <si>
    <t>!!Native population:!!18 years and over:!!Speak other languages:!!Speak English less than "very well"</t>
  </si>
  <si>
    <t>Estimate!!Total:!!Foreign-born population:</t>
  </si>
  <si>
    <t>'B16008_019',</t>
  </si>
  <si>
    <t>B16008_019</t>
  </si>
  <si>
    <t>!!Foreign-born population:</t>
  </si>
  <si>
    <t>Estimate!!Total:!!Foreign-born population:!!Naturalized U.S. citizen:</t>
  </si>
  <si>
    <t>'B16008_020',</t>
  </si>
  <si>
    <t>B16008_020</t>
  </si>
  <si>
    <t>!!Foreign-born population:!!Naturalized U.S. citizen:</t>
  </si>
  <si>
    <t>Estimate!!Total:!!Foreign-born population:!!Naturalized U.S. citizen:!!5 to 17 years:</t>
  </si>
  <si>
    <t>'B16008_021',</t>
  </si>
  <si>
    <t>B16008_021</t>
  </si>
  <si>
    <t>!!Foreign-born population:!!Naturalized U.S. citizen:!!5 to 17 years:</t>
  </si>
  <si>
    <t>Estimate!!Total:!!Foreign-born population:!!Naturalized U.S. citizen:!!5 to 17 years:!!Speak only English</t>
  </si>
  <si>
    <t>'B16008_022',</t>
  </si>
  <si>
    <t>B16008_022</t>
  </si>
  <si>
    <t>!!Foreign-born population:!!Naturalized U.S. citizen:!!5 to 17 years:!!Speak only English</t>
  </si>
  <si>
    <t>Estimate!!Total:!!Foreign-born population:!!Naturalized U.S. citizen:!!5 to 17 years:!!Speak Spanish:</t>
  </si>
  <si>
    <t>'B16008_023',</t>
  </si>
  <si>
    <t>B16008_023</t>
  </si>
  <si>
    <t>!!Foreign-born population:!!Naturalized U.S. citizen:!!5 to 17 years:!!Speak Spanish:</t>
  </si>
  <si>
    <t>Estimate!!Total:!!Foreign-born population:!!Naturalized U.S. citizen:!!5 to 17 years:!!Speak Spanish:!!Speak English "very well"</t>
  </si>
  <si>
    <t>'B16008_024',</t>
  </si>
  <si>
    <t>B16008_024</t>
  </si>
  <si>
    <t>!!Foreign-born population:!!Naturalized U.S. citizen:!!5 to 17 years:!!Speak Spanish:!!Speak English "very well"</t>
  </si>
  <si>
    <t>Estimate!!Total:!!Foreign-born population:!!Naturalized U.S. citizen:!!5 to 17 years:!!Speak Spanish:!!Speak English less than "very well"</t>
  </si>
  <si>
    <t>'B16008_025',</t>
  </si>
  <si>
    <t>B16008_025</t>
  </si>
  <si>
    <t>!!Foreign-born population:!!Naturalized U.S. citizen:!!5 to 17 years:!!Speak Spanish:!!Speak English less than "very well"</t>
  </si>
  <si>
    <t>Estimate!!Total:!!Foreign-born population:!!Naturalized U.S. citizen:!!5 to 17 years:!!Speak other languages:</t>
  </si>
  <si>
    <t>'B16008_026',</t>
  </si>
  <si>
    <t>B16008_026</t>
  </si>
  <si>
    <t>!!Foreign-born population:!!Naturalized U.S. citizen:!!5 to 17 years:!!Speak other languages:</t>
  </si>
  <si>
    <t>Estimate!!Total:!!Foreign-born population:!!Naturalized U.S. citizen:!!5 to 17 years:!!Speak other languages:!!Speak English "very well"</t>
  </si>
  <si>
    <t>'B16008_027',</t>
  </si>
  <si>
    <t>B16008_027</t>
  </si>
  <si>
    <t>!!Foreign-born population:!!Naturalized U.S. citizen:!!5 to 17 years:!!Speak other languages:!!Speak English "very well"</t>
  </si>
  <si>
    <t>Estimate!!Total:!!Foreign-born population:!!Naturalized U.S. citizen:!!5 to 17 years:!!Speak other languages:!!Speak English less than "very well"</t>
  </si>
  <si>
    <t>'B16008_028',</t>
  </si>
  <si>
    <t>B16008_028</t>
  </si>
  <si>
    <t>!!Foreign-born population:!!Naturalized U.S. citizen:!!5 to 17 years:!!Speak other languages:!!Speak English less than "very well"</t>
  </si>
  <si>
    <t>Estimate!!Total:!!Foreign-born population:!!Naturalized U.S. citizen:!!18 years and over:</t>
  </si>
  <si>
    <t>'B16008_029',</t>
  </si>
  <si>
    <t>B16008_029</t>
  </si>
  <si>
    <t>!!Foreign-born population:!!Naturalized U.S. citizen:!!18 years and over:</t>
  </si>
  <si>
    <t>Estimate!!Total:!!Foreign-born population:!!Naturalized U.S. citizen:!!18 years and over:!!Speak only English</t>
  </si>
  <si>
    <t>'B16008_030',</t>
  </si>
  <si>
    <t>B16008_030</t>
  </si>
  <si>
    <t>!!Foreign-born population:!!Naturalized U.S. citizen:!!18 years and over:!!Speak only English</t>
  </si>
  <si>
    <t>Estimate!!Total:!!Foreign-born population:!!Naturalized U.S. citizen:!!18 years and over:!!Speak Spanish:</t>
  </si>
  <si>
    <t>'B16008_031',</t>
  </si>
  <si>
    <t>B16008_031</t>
  </si>
  <si>
    <t>!!Foreign-born population:!!Naturalized U.S. citizen:!!18 years and over:!!Speak Spanish:</t>
  </si>
  <si>
    <t>Estimate!!Total:!!Foreign-born population:!!Naturalized U.S. citizen:!!18 years and over:!!Speak Spanish:!!Speak English "very well"</t>
  </si>
  <si>
    <t>'B16008_032',</t>
  </si>
  <si>
    <t>B16008_032</t>
  </si>
  <si>
    <t>!!Foreign-born population:!!Naturalized U.S. citizen:!!18 years and over:!!Speak Spanish:!!Speak English "very well"</t>
  </si>
  <si>
    <t>Estimate!!Total:!!Foreign-born population:!!Naturalized U.S. citizen:!!18 years and over:!!Speak Spanish:!!Speak English less than "very well"</t>
  </si>
  <si>
    <t>'B16008_033',</t>
  </si>
  <si>
    <t>B16008_033</t>
  </si>
  <si>
    <t>!!Foreign-born population:!!Naturalized U.S. citizen:!!18 years and over:!!Speak Spanish:!!Speak English less than "very well"</t>
  </si>
  <si>
    <t>Estimate!!Total:!!Foreign-born population:!!Naturalized U.S. citizen:!!18 years and over:!!Speak other languages:</t>
  </si>
  <si>
    <t>'B16008_034',</t>
  </si>
  <si>
    <t>B16008_034</t>
  </si>
  <si>
    <t>!!Foreign-born population:!!Naturalized U.S. citizen:!!18 years and over:!!Speak other languages:</t>
  </si>
  <si>
    <t>Estimate!!Total:!!Foreign-born population:!!Naturalized U.S. citizen:!!18 years and over:!!Speak other languages:!!Speak English "very well"</t>
  </si>
  <si>
    <t>'B16008_035',</t>
  </si>
  <si>
    <t>B16008_035</t>
  </si>
  <si>
    <t>!!Foreign-born population:!!Naturalized U.S. citizen:!!18 years and over:!!Speak other languages:!!Speak English "very well"</t>
  </si>
  <si>
    <t>Estimate!!Total:!!Foreign-born population:!!Naturalized U.S. citizen:!!18 years and over:!!Speak other languages:!!Speak English less than "very well"</t>
  </si>
  <si>
    <t>'B16008_036',</t>
  </si>
  <si>
    <t>B16008_036</t>
  </si>
  <si>
    <t>!!Foreign-born population:!!Naturalized U.S. citizen:!!18 years and over:!!Speak other languages:!!Speak English less than "very well"</t>
  </si>
  <si>
    <t>Estimate!!Total:!!Foreign-born population:!!Not a U.S. citizen:</t>
  </si>
  <si>
    <t>'B16008_037',</t>
  </si>
  <si>
    <t>B16008_037</t>
  </si>
  <si>
    <t>!!Foreign-born population:!!Not a U.S. citizen:</t>
  </si>
  <si>
    <t>Estimate!!Total:!!Foreign-born population:!!Not a U.S. citizen:!!5 to 17 years:</t>
  </si>
  <si>
    <t>'B16008_038',</t>
  </si>
  <si>
    <t>B16008_038</t>
  </si>
  <si>
    <t>!!Foreign-born population:!!Not a U.S. citizen:!!5 to 17 years:</t>
  </si>
  <si>
    <t>Estimate!!Total:!!Foreign-born population:!!Not a U.S. citizen:!!5 to 17 years:!!Speak only English</t>
  </si>
  <si>
    <t>'B16008_039',</t>
  </si>
  <si>
    <t>B16008_039</t>
  </si>
  <si>
    <t>!!Foreign-born population:!!Not a U.S. citizen:!!5 to 17 years:!!Speak only English</t>
  </si>
  <si>
    <t>Estimate!!Total:!!Foreign-born population:!!Not a U.S. citizen:!!5 to 17 years:!!Speak Spanish:</t>
  </si>
  <si>
    <t>'B16008_040',</t>
  </si>
  <si>
    <t>B16008_040</t>
  </si>
  <si>
    <t>!!Foreign-born population:!!Not a U.S. citizen:!!5 to 17 years:!!Speak Spanish:</t>
  </si>
  <si>
    <t>Estimate!!Total:!!Foreign-born population:!!Not a U.S. citizen:!!5 to 17 years:!!Speak Spanish:!!Speak English "very well"</t>
  </si>
  <si>
    <t>'B16008_041',</t>
  </si>
  <si>
    <t>B16008_041</t>
  </si>
  <si>
    <t>!!Foreign-born population:!!Not a U.S. citizen:!!5 to 17 years:!!Speak Spanish:!!Speak English "very well"</t>
  </si>
  <si>
    <t>Estimate!!Total:!!Foreign-born population:!!Not a U.S. citizen:!!5 to 17 years:!!Speak Spanish:!!Speak English less than "very well"</t>
  </si>
  <si>
    <t>'B16008_042',</t>
  </si>
  <si>
    <t>B16008_042</t>
  </si>
  <si>
    <t>!!Foreign-born population:!!Not a U.S. citizen:!!5 to 17 years:!!Speak Spanish:!!Speak English less than "very well"</t>
  </si>
  <si>
    <t>Estimate!!Total:!!Foreign-born population:!!Not a U.S. citizen:!!5 to 17 years:!!Speak other languages:</t>
  </si>
  <si>
    <t>'B16008_043',</t>
  </si>
  <si>
    <t>B16008_043</t>
  </si>
  <si>
    <t>!!Foreign-born population:!!Not a U.S. citizen:!!5 to 17 years:!!Speak other languages:</t>
  </si>
  <si>
    <t>Estimate!!Total:!!Foreign-born population:!!Not a U.S. citizen:!!5 to 17 years:!!Speak other languages:!!Speak English "very well"</t>
  </si>
  <si>
    <t>'B16008_044',</t>
  </si>
  <si>
    <t>B16008_044</t>
  </si>
  <si>
    <t>!!Foreign-born population:!!Not a U.S. citizen:!!5 to 17 years:!!Speak other languages:!!Speak English "very well"</t>
  </si>
  <si>
    <t>Estimate!!Total:!!Foreign-born population:!!Not a U.S. citizen:!!5 to 17 years:!!Speak other languages:!!Speak English less than "very well"</t>
  </si>
  <si>
    <t>'B16008_045',</t>
  </si>
  <si>
    <t>B16008_045</t>
  </si>
  <si>
    <t>!!Foreign-born population:!!Not a U.S. citizen:!!5 to 17 years:!!Speak other languages:!!Speak English less than "very well"</t>
  </si>
  <si>
    <t>Estimate!!Total:!!Foreign-born population:!!Not a U.S. citizen:!!18 years and over:</t>
  </si>
  <si>
    <t>'B16008_046',</t>
  </si>
  <si>
    <t>B16008_046</t>
  </si>
  <si>
    <t>!!Foreign-born population:!!Not a U.S. citizen:!!18 years and over:</t>
  </si>
  <si>
    <t>Estimate!!Total:!!Foreign-born population:!!Not a U.S. citizen:!!18 years and over:!!Speak only English</t>
  </si>
  <si>
    <t>'B16008_047',</t>
  </si>
  <si>
    <t>B16008_047</t>
  </si>
  <si>
    <t>!!Foreign-born population:!!Not a U.S. citizen:!!18 years and over:!!Speak only English</t>
  </si>
  <si>
    <t>Estimate!!Total:!!Foreign-born population:!!Not a U.S. citizen:!!18 years and over:!!Speak Spanish:</t>
  </si>
  <si>
    <t>'B16008_048',</t>
  </si>
  <si>
    <t>B16008_048</t>
  </si>
  <si>
    <t>!!Foreign-born population:!!Not a U.S. citizen:!!18 years and over:!!Speak Spanish:</t>
  </si>
  <si>
    <t>Estimate!!Total:!!Foreign-born population:!!Not a U.S. citizen:!!18 years and over:!!Speak Spanish:!!Speak English "very well"</t>
  </si>
  <si>
    <t>'B16008_049',</t>
  </si>
  <si>
    <t>B16008_049</t>
  </si>
  <si>
    <t>!!Foreign-born population:!!Not a U.S. citizen:!!18 years and over:!!Speak Spanish:!!Speak English "very well"</t>
  </si>
  <si>
    <t>Estimate!!Total:!!Foreign-born population:!!Not a U.S. citizen:!!18 years and over:!!Speak Spanish:!!Speak English less than "very well"</t>
  </si>
  <si>
    <t>'B16008_050',</t>
  </si>
  <si>
    <t>B16008_050</t>
  </si>
  <si>
    <t>!!Foreign-born population:!!Not a U.S. citizen:!!18 years and over:!!Speak Spanish:!!Speak English less than "very well"</t>
  </si>
  <si>
    <t>Estimate!!Total:!!Foreign-born population:!!Not a U.S. citizen:!!18 years and over:!!Speak other languages:</t>
  </si>
  <si>
    <t>'B16008_051',</t>
  </si>
  <si>
    <t>B16008_051</t>
  </si>
  <si>
    <t>!!Foreign-born population:!!Not a U.S. citizen:!!18 years and over:!!Speak other languages:</t>
  </si>
  <si>
    <t>Estimate!!Total:!!Foreign-born population:!!Not a U.S. citizen:!!18 years and over:!!Speak other languages:!!Speak English "very well"</t>
  </si>
  <si>
    <t>'B16008_052',</t>
  </si>
  <si>
    <t>B16008_052</t>
  </si>
  <si>
    <t>!!Foreign-born population:!!Not a U.S. citizen:!!18 years and over:!!Speak other languages:!!Speak English "very well"</t>
  </si>
  <si>
    <t>Estimate!!Total:!!Foreign-born population:!!Not a U.S. citizen:!!18 years and over:!!Speak other languages:!!Speak English less than "very well"</t>
  </si>
  <si>
    <t>'B16008_053',</t>
  </si>
  <si>
    <t>B16008_053</t>
  </si>
  <si>
    <t>!!Foreign-born population:!!Not a U.S. citizen:!!18 years and over:!!Speak other languages:!!Speak English less than "very well"</t>
  </si>
  <si>
    <t>Poverty Status in the Past 12 Months by Age by Language Spoken at Home for the Population 5 Years and Over</t>
  </si>
  <si>
    <t>'B16009_001',</t>
  </si>
  <si>
    <t>B16009_001</t>
  </si>
  <si>
    <t>Estimate!!Total:!!Income in the past 12 months below poverty level:</t>
  </si>
  <si>
    <t>'B16009_002',</t>
  </si>
  <si>
    <t>B16009_002</t>
  </si>
  <si>
    <t>!!Income in the past 12 months below poverty level:</t>
  </si>
  <si>
    <t>Estimate!!Total:!!Income in the past 12 months below poverty level:!!5 to 17 years:</t>
  </si>
  <si>
    <t>'B16009_003',</t>
  </si>
  <si>
    <t>B16009_003</t>
  </si>
  <si>
    <t>!!Income in the past 12 months below poverty level:!!5 to 17 years:</t>
  </si>
  <si>
    <t>Estimate!!Total:!!Income in the past 12 months below poverty level:!!5 to 17 years:!!Speak only English</t>
  </si>
  <si>
    <t>'B16009_004',</t>
  </si>
  <si>
    <t>B16009_004</t>
  </si>
  <si>
    <t>!!Income in the past 12 months below poverty level:!!5 to 17 years:!!Speak only English</t>
  </si>
  <si>
    <t>Estimate!!Total:!!Income in the past 12 months below poverty level:!!5 to 17 years:!!Speak Spanish</t>
  </si>
  <si>
    <t>'B16009_005',</t>
  </si>
  <si>
    <t>B16009_005</t>
  </si>
  <si>
    <t>!!Income in the past 12 months below poverty level:!!5 to 17 years:!!Speak Spanish</t>
  </si>
  <si>
    <t>Estimate!!Total:!!Income in the past 12 months below poverty level:!!5 to 17 years:!!Speak other Indo-European languages</t>
  </si>
  <si>
    <t>'B16009_006',</t>
  </si>
  <si>
    <t>B16009_006</t>
  </si>
  <si>
    <t>!!Income in the past 12 months below poverty level:!!5 to 17 years:!!Speak other Indo-European languages</t>
  </si>
  <si>
    <t>Estimate!!Total:!!Income in the past 12 months below poverty level:!!5 to 17 years:!!Speak Asian and Pacific Island languages</t>
  </si>
  <si>
    <t>'B16009_007',</t>
  </si>
  <si>
    <t>B16009_007</t>
  </si>
  <si>
    <t>!!Income in the past 12 months below poverty level:!!5 to 17 years:!!Speak Asian and Pacific Island languages</t>
  </si>
  <si>
    <t>Estimate!!Total:!!Income in the past 12 months below poverty level:!!5 to 17 years:!!Speak other languages</t>
  </si>
  <si>
    <t>'B16009_008',</t>
  </si>
  <si>
    <t>B16009_008</t>
  </si>
  <si>
    <t>!!Income in the past 12 months below poverty level:!!5 to 17 years:!!Speak other languages</t>
  </si>
  <si>
    <t>Estimate!!Total:!!Income in the past 12 months below poverty level:!!18 years and over:</t>
  </si>
  <si>
    <t>'B16009_009',</t>
  </si>
  <si>
    <t>B16009_009</t>
  </si>
  <si>
    <t>!!Income in the past 12 months below poverty level:!!18 years and over:</t>
  </si>
  <si>
    <t>Estimate!!Total:!!Income in the past 12 months below poverty level:!!18 years and over:!!Speak only English</t>
  </si>
  <si>
    <t>'B16009_010',</t>
  </si>
  <si>
    <t>B16009_010</t>
  </si>
  <si>
    <t>!!Income in the past 12 months below poverty level:!!18 years and over:!!Speak only English</t>
  </si>
  <si>
    <t>Estimate!!Total:!!Income in the past 12 months below poverty level:!!18 years and over:!!Speak Spanish</t>
  </si>
  <si>
    <t>'B16009_011',</t>
  </si>
  <si>
    <t>B16009_011</t>
  </si>
  <si>
    <t>!!Income in the past 12 months below poverty level:!!18 years and over:!!Speak Spanish</t>
  </si>
  <si>
    <t>Estimate!!Total:!!Income in the past 12 months below poverty level:!!18 years and over:!!Speak other Indo-European languages</t>
  </si>
  <si>
    <t>'B16009_012',</t>
  </si>
  <si>
    <t>B16009_012</t>
  </si>
  <si>
    <t>!!Income in the past 12 months below poverty level:!!18 years and over:!!Speak other Indo-European languages</t>
  </si>
  <si>
    <t>Estimate!!Total:!!Income in the past 12 months below poverty level:!!18 years and over:!!Speak Asian and Pacific Island languages</t>
  </si>
  <si>
    <t>'B16009_013',</t>
  </si>
  <si>
    <t>B16009_013</t>
  </si>
  <si>
    <t>!!Income in the past 12 months below poverty level:!!18 years and over:!!Speak Asian and Pacific Island languages</t>
  </si>
  <si>
    <t>Estimate!!Total:!!Income in the past 12 months below poverty level:!!18 years and over:!!Speak other languages</t>
  </si>
  <si>
    <t>'B16009_014',</t>
  </si>
  <si>
    <t>B16009_014</t>
  </si>
  <si>
    <t>!!Income in the past 12 months below poverty level:!!18 years and over:!!Speak other languages</t>
  </si>
  <si>
    <t>Estimate!!Total:!!Income in the past 12 months at or above poverty level:</t>
  </si>
  <si>
    <t>'B16009_015',</t>
  </si>
  <si>
    <t>B16009_015</t>
  </si>
  <si>
    <t>!!Income in the past 12 months at or above poverty level:</t>
  </si>
  <si>
    <t>Estimate!!Total:!!Income in the past 12 months at or above poverty level:!!5 to 17 years:</t>
  </si>
  <si>
    <t>'B16009_016',</t>
  </si>
  <si>
    <t>B16009_016</t>
  </si>
  <si>
    <t>!!Income in the past 12 months at or above poverty level:!!5 to 17 years:</t>
  </si>
  <si>
    <t>Estimate!!Total:!!Income in the past 12 months at or above poverty level:!!5 to 17 years:!!Speak only English</t>
  </si>
  <si>
    <t>'B16009_017',</t>
  </si>
  <si>
    <t>B16009_017</t>
  </si>
  <si>
    <t>!!Income in the past 12 months at or above poverty level:!!5 to 17 years:!!Speak only English</t>
  </si>
  <si>
    <t>Estimate!!Total:!!Income in the past 12 months at or above poverty level:!!5 to 17 years:!!Speak Spanish</t>
  </si>
  <si>
    <t>'B16009_018',</t>
  </si>
  <si>
    <t>B16009_018</t>
  </si>
  <si>
    <t>!!Income in the past 12 months at or above poverty level:!!5 to 17 years:!!Speak Spanish</t>
  </si>
  <si>
    <t>Estimate!!Total:!!Income in the past 12 months at or above poverty level:!!5 to 17 years:!!Speak other Indo-European languages</t>
  </si>
  <si>
    <t>'B16009_019',</t>
  </si>
  <si>
    <t>B16009_019</t>
  </si>
  <si>
    <t>!!Income in the past 12 months at or above poverty level:!!5 to 17 years:!!Speak other Indo-European languages</t>
  </si>
  <si>
    <t>Estimate!!Total:!!Income in the past 12 months at or above poverty level:!!5 to 17 years:!!Speak Asian and Pacific Island languages</t>
  </si>
  <si>
    <t>'B16009_020',</t>
  </si>
  <si>
    <t>B16009_020</t>
  </si>
  <si>
    <t>!!Income in the past 12 months at or above poverty level:!!5 to 17 years:!!Speak Asian and Pacific Island languages</t>
  </si>
  <si>
    <t>Estimate!!Total:!!Income in the past 12 months at or above poverty level:!!5 to 17 years:!!Speak other languages</t>
  </si>
  <si>
    <t>'B16009_021',</t>
  </si>
  <si>
    <t>B16009_021</t>
  </si>
  <si>
    <t>!!Income in the past 12 months at or above poverty level:!!5 to 17 years:!!Speak other languages</t>
  </si>
  <si>
    <t>Estimate!!Total:!!Income in the past 12 months at or above poverty level:!!18 years and over:</t>
  </si>
  <si>
    <t>'B16009_022',</t>
  </si>
  <si>
    <t>B16009_022</t>
  </si>
  <si>
    <t>!!Income in the past 12 months at or above poverty level:!!18 years and over:</t>
  </si>
  <si>
    <t>Estimate!!Total:!!Income in the past 12 months at or above poverty level:!!18 years and over:!!Speak only English</t>
  </si>
  <si>
    <t>'B16009_023',</t>
  </si>
  <si>
    <t>B16009_023</t>
  </si>
  <si>
    <t>!!Income in the past 12 months at or above poverty level:!!18 years and over:!!Speak only English</t>
  </si>
  <si>
    <t>Estimate!!Total:!!Income in the past 12 months at or above poverty level:!!18 years and over:!!Speak Spanish</t>
  </si>
  <si>
    <t>'B16009_024',</t>
  </si>
  <si>
    <t>B16009_024</t>
  </si>
  <si>
    <t>!!Income in the past 12 months at or above poverty level:!!18 years and over:!!Speak Spanish</t>
  </si>
  <si>
    <t>Estimate!!Total:!!Income in the past 12 months at or above poverty level:!!18 years and over:!!Speak other Indo-European languages</t>
  </si>
  <si>
    <t>'B16009_025',</t>
  </si>
  <si>
    <t>B16009_025</t>
  </si>
  <si>
    <t>!!Income in the past 12 months at or above poverty level:!!18 years and over:!!Speak other Indo-European languages</t>
  </si>
  <si>
    <t>Estimate!!Total:!!Income in the past 12 months at or above poverty level:!!18 years and over:!!Speak Asian and Pacific Island languages</t>
  </si>
  <si>
    <t>'B16009_026',</t>
  </si>
  <si>
    <t>B16009_026</t>
  </si>
  <si>
    <t>!!Income in the past 12 months at or above poverty level:!!18 years and over:!!Speak Asian and Pacific Island languages</t>
  </si>
  <si>
    <t>Estimate!!Total:!!Income in the past 12 months at or above poverty level:!!18 years and over:!!Speak other languages</t>
  </si>
  <si>
    <t>'B16009_027',</t>
  </si>
  <si>
    <t>B16009_027</t>
  </si>
  <si>
    <t>!!Income in the past 12 months at or above poverty level:!!18 years and over:!!Speak other languages</t>
  </si>
  <si>
    <t>Educational Attainment and Employment Status by Language Spoken at Home for the Population 25 Years and Over</t>
  </si>
  <si>
    <t>'B16010_001',</t>
  </si>
  <si>
    <t>B16010_001</t>
  </si>
  <si>
    <t>Estimate!!Total:!!Less than high school graduate:</t>
  </si>
  <si>
    <t>'B16010_002',</t>
  </si>
  <si>
    <t>B16010_002</t>
  </si>
  <si>
    <t>!!Less than high school graduate:</t>
  </si>
  <si>
    <t>Estimate!!Total:!!Less than high school graduate:!!In labor force:</t>
  </si>
  <si>
    <t>'B16010_003',</t>
  </si>
  <si>
    <t>B16010_003</t>
  </si>
  <si>
    <t>!!Less than high school graduate:!!In labor force:</t>
  </si>
  <si>
    <t>Estimate!!Total:!!Less than high school graduate:!!In labor force:!!Speak only English</t>
  </si>
  <si>
    <t>'B16010_004',</t>
  </si>
  <si>
    <t>B16010_004</t>
  </si>
  <si>
    <t>!!Less than high school graduate:!!In labor force:!!Speak only English</t>
  </si>
  <si>
    <t>Estimate!!Total:!!Less than high school graduate:!!In labor force:!!Speak Spanish</t>
  </si>
  <si>
    <t>'B16010_005',</t>
  </si>
  <si>
    <t>B16010_005</t>
  </si>
  <si>
    <t>!!Less than high school graduate:!!In labor force:!!Speak Spanish</t>
  </si>
  <si>
    <t>Estimate!!Total:!!Less than high school graduate:!!In labor force:!!Speak other Indo-European languages</t>
  </si>
  <si>
    <t>'B16010_006',</t>
  </si>
  <si>
    <t>B16010_006</t>
  </si>
  <si>
    <t>!!Less than high school graduate:!!In labor force:!!Speak other Indo-European languages</t>
  </si>
  <si>
    <t>Estimate!!Total:!!Less than high school graduate:!!In labor force:!!Speak Asian and Pacific Island languages</t>
  </si>
  <si>
    <t>'B16010_007',</t>
  </si>
  <si>
    <t>B16010_007</t>
  </si>
  <si>
    <t>!!Less than high school graduate:!!In labor force:!!Speak Asian and Pacific Island languages</t>
  </si>
  <si>
    <t>Estimate!!Total:!!Less than high school graduate:!!In labor force:!!Speak other languages</t>
  </si>
  <si>
    <t>'B16010_008',</t>
  </si>
  <si>
    <t>B16010_008</t>
  </si>
  <si>
    <t>!!Less than high school graduate:!!In labor force:!!Speak other languages</t>
  </si>
  <si>
    <t>Estimate!!Total:!!Less than high school graduate:!!Not in labor force:</t>
  </si>
  <si>
    <t>'B16010_009',</t>
  </si>
  <si>
    <t>B16010_009</t>
  </si>
  <si>
    <t>!!Less than high school graduate:!!Not in labor force:</t>
  </si>
  <si>
    <t>Estimate!!Total:!!Less than high school graduate:!!Not in labor force:!!Speak only English</t>
  </si>
  <si>
    <t>'B16010_010',</t>
  </si>
  <si>
    <t>B16010_010</t>
  </si>
  <si>
    <t>!!Less than high school graduate:!!Not in labor force:!!Speak only English</t>
  </si>
  <si>
    <t>Estimate!!Total:!!Less than high school graduate:!!Not in labor force:!!Speak Spanish</t>
  </si>
  <si>
    <t>'B16010_011',</t>
  </si>
  <si>
    <t>B16010_011</t>
  </si>
  <si>
    <t>!!Less than high school graduate:!!Not in labor force:!!Speak Spanish</t>
  </si>
  <si>
    <t>Estimate!!Total:!!Less than high school graduate:!!Not in labor force:!!Speak other Indo-European languages</t>
  </si>
  <si>
    <t>'B16010_012',</t>
  </si>
  <si>
    <t>B16010_012</t>
  </si>
  <si>
    <t>!!Less than high school graduate:!!Not in labor force:!!Speak other Indo-European languages</t>
  </si>
  <si>
    <t>Estimate!!Total:!!Less than high school graduate:!!Not in labor force:!!Speak Asian and Pacific Island languages</t>
  </si>
  <si>
    <t>'B16010_013',</t>
  </si>
  <si>
    <t>B16010_013</t>
  </si>
  <si>
    <t>!!Less than high school graduate:!!Not in labor force:!!Speak Asian and Pacific Island languages</t>
  </si>
  <si>
    <t>Estimate!!Total:!!Less than high school graduate:!!Not in labor force:!!Speak other languages</t>
  </si>
  <si>
    <t>'B16010_014',</t>
  </si>
  <si>
    <t>B16010_014</t>
  </si>
  <si>
    <t>!!Less than high school graduate:!!Not in labor force:!!Speak other languages</t>
  </si>
  <si>
    <t>Estimate!!Total:!!High school graduate (includes equivalency):</t>
  </si>
  <si>
    <t>'B16010_015',</t>
  </si>
  <si>
    <t>B16010_015</t>
  </si>
  <si>
    <t>!!High school graduate (includes equivalency):</t>
  </si>
  <si>
    <t>Estimate!!Total:!!High school graduate (includes equivalency):!!In labor force:</t>
  </si>
  <si>
    <t>'B16010_016',</t>
  </si>
  <si>
    <t>B16010_016</t>
  </si>
  <si>
    <t>!!High school graduate (includes equivalency):!!In labor force:</t>
  </si>
  <si>
    <t>Estimate!!Total:!!High school graduate (includes equivalency):!!In labor force:!!Speak only English</t>
  </si>
  <si>
    <t>'B16010_017',</t>
  </si>
  <si>
    <t>B16010_017</t>
  </si>
  <si>
    <t>!!High school graduate (includes equivalency):!!In labor force:!!Speak only English</t>
  </si>
  <si>
    <t>Estimate!!Total:!!High school graduate (includes equivalency):!!In labor force:!!Speak Spanish</t>
  </si>
  <si>
    <t>'B16010_018',</t>
  </si>
  <si>
    <t>B16010_018</t>
  </si>
  <si>
    <t>!!High school graduate (includes equivalency):!!In labor force:!!Speak Spanish</t>
  </si>
  <si>
    <t>Estimate!!Total:!!High school graduate (includes equivalency):!!In labor force:!!Speak other Indo-European languages</t>
  </si>
  <si>
    <t>'B16010_019',</t>
  </si>
  <si>
    <t>B16010_019</t>
  </si>
  <si>
    <t>!!High school graduate (includes equivalency):!!In labor force:!!Speak other Indo-European languages</t>
  </si>
  <si>
    <t>Estimate!!Total:!!High school graduate (includes equivalency):!!In labor force:!!Speak Asian and Pacific Island languages</t>
  </si>
  <si>
    <t>'B16010_020',</t>
  </si>
  <si>
    <t>B16010_020</t>
  </si>
  <si>
    <t>!!High school graduate (includes equivalency):!!In labor force:!!Speak Asian and Pacific Island languages</t>
  </si>
  <si>
    <t>Estimate!!Total:!!High school graduate (includes equivalency):!!In labor force:!!Speak other languages</t>
  </si>
  <si>
    <t>'B16010_021',</t>
  </si>
  <si>
    <t>B16010_021</t>
  </si>
  <si>
    <t>!!High school graduate (includes equivalency):!!In labor force:!!Speak other languages</t>
  </si>
  <si>
    <t>Estimate!!Total:!!High school graduate (includes equivalency):!!Not in labor force:</t>
  </si>
  <si>
    <t>'B16010_022',</t>
  </si>
  <si>
    <t>B16010_022</t>
  </si>
  <si>
    <t>!!High school graduate (includes equivalency):!!Not in labor force:</t>
  </si>
  <si>
    <t>Estimate!!Total:!!High school graduate (includes equivalency):!!Not in labor force:!!Speak only English</t>
  </si>
  <si>
    <t>'B16010_023',</t>
  </si>
  <si>
    <t>B16010_023</t>
  </si>
  <si>
    <t>!!High school graduate (includes equivalency):!!Not in labor force:!!Speak only English</t>
  </si>
  <si>
    <t>Estimate!!Total:!!High school graduate (includes equivalency):!!Not in labor force:!!Speak Spanish</t>
  </si>
  <si>
    <t>'B16010_024',</t>
  </si>
  <si>
    <t>B16010_024</t>
  </si>
  <si>
    <t>!!High school graduate (includes equivalency):!!Not in labor force:!!Speak Spanish</t>
  </si>
  <si>
    <t>Estimate!!Total:!!High school graduate (includes equivalency):!!Not in labor force:!!Speak other Indo-European languages</t>
  </si>
  <si>
    <t>'B16010_025',</t>
  </si>
  <si>
    <t>B16010_025</t>
  </si>
  <si>
    <t>!!High school graduate (includes equivalency):!!Not in labor force:!!Speak other Indo-European languages</t>
  </si>
  <si>
    <t>Estimate!!Total:!!High school graduate (includes equivalency):!!Not in labor force:!!Speak Asian and Pacific Island languages</t>
  </si>
  <si>
    <t>'B16010_026',</t>
  </si>
  <si>
    <t>B16010_026</t>
  </si>
  <si>
    <t>!!High school graduate (includes equivalency):!!Not in labor force:!!Speak Asian and Pacific Island languages</t>
  </si>
  <si>
    <t>Estimate!!Total:!!High school graduate (includes equivalency):!!Not in labor force:!!Speak other languages</t>
  </si>
  <si>
    <t>'B16010_027',</t>
  </si>
  <si>
    <t>B16010_027</t>
  </si>
  <si>
    <t>!!High school graduate (includes equivalency):!!Not in labor force:!!Speak other languages</t>
  </si>
  <si>
    <t>Estimate!!Total:!!Some college or associate's degree:</t>
  </si>
  <si>
    <t>'B16010_028',</t>
  </si>
  <si>
    <t>B16010_028</t>
  </si>
  <si>
    <t>!!Some college or associate's degree:</t>
  </si>
  <si>
    <t>Estimate!!Total:!!Some college or associate's degree:!!In labor force:</t>
  </si>
  <si>
    <t>'B16010_029',</t>
  </si>
  <si>
    <t>B16010_029</t>
  </si>
  <si>
    <t>!!Some college or associate's degree:!!In labor force:</t>
  </si>
  <si>
    <t>Estimate!!Total:!!Some college or associate's degree:!!In labor force:!!Speak only English</t>
  </si>
  <si>
    <t>'B16010_030',</t>
  </si>
  <si>
    <t>B16010_030</t>
  </si>
  <si>
    <t>!!Some college or associate's degree:!!In labor force:!!Speak only English</t>
  </si>
  <si>
    <t>Estimate!!Total:!!Some college or associate's degree:!!In labor force:!!Speak Spanish</t>
  </si>
  <si>
    <t>'B16010_031',</t>
  </si>
  <si>
    <t>B16010_031</t>
  </si>
  <si>
    <t>!!Some college or associate's degree:!!In labor force:!!Speak Spanish</t>
  </si>
  <si>
    <t>Estimate!!Total:!!Some college or associate's degree:!!In labor force:!!Speak other Indo-European languages</t>
  </si>
  <si>
    <t>'B16010_032',</t>
  </si>
  <si>
    <t>B16010_032</t>
  </si>
  <si>
    <t>!!Some college or associate's degree:!!In labor force:!!Speak other Indo-European languages</t>
  </si>
  <si>
    <t>Estimate!!Total:!!Some college or associate's degree:!!In labor force:!!Speak Asian and Pacific Island languages</t>
  </si>
  <si>
    <t>'B16010_033',</t>
  </si>
  <si>
    <t>B16010_033</t>
  </si>
  <si>
    <t>!!Some college or associate's degree:!!In labor force:!!Speak Asian and Pacific Island languages</t>
  </si>
  <si>
    <t>Estimate!!Total:!!Some college or associate's degree:!!In labor force:!!Speak other languages</t>
  </si>
  <si>
    <t>'B16010_034',</t>
  </si>
  <si>
    <t>B16010_034</t>
  </si>
  <si>
    <t>!!Some college or associate's degree:!!In labor force:!!Speak other languages</t>
  </si>
  <si>
    <t>Estimate!!Total:!!Some college or associate's degree:!!Not in labor force:</t>
  </si>
  <si>
    <t>'B16010_035',</t>
  </si>
  <si>
    <t>B16010_035</t>
  </si>
  <si>
    <t>!!Some college or associate's degree:!!Not in labor force:</t>
  </si>
  <si>
    <t>Estimate!!Total:!!Some college or associate's degree:!!Not in labor force:!!Speak only English</t>
  </si>
  <si>
    <t>'B16010_036',</t>
  </si>
  <si>
    <t>B16010_036</t>
  </si>
  <si>
    <t>!!Some college or associate's degree:!!Not in labor force:!!Speak only English</t>
  </si>
  <si>
    <t>Estimate!!Total:!!Some college or associate's degree:!!Not in labor force:!!Speak Spanish</t>
  </si>
  <si>
    <t>'B16010_037',</t>
  </si>
  <si>
    <t>B16010_037</t>
  </si>
  <si>
    <t>!!Some college or associate's degree:!!Not in labor force:!!Speak Spanish</t>
  </si>
  <si>
    <t>Estimate!!Total:!!Some college or associate's degree:!!Not in labor force:!!Speak other Indo-European languages</t>
  </si>
  <si>
    <t>'B16010_038',</t>
  </si>
  <si>
    <t>B16010_038</t>
  </si>
  <si>
    <t>!!Some college or associate's degree:!!Not in labor force:!!Speak other Indo-European languages</t>
  </si>
  <si>
    <t>Estimate!!Total:!!Some college or associate's degree:!!Not in labor force:!!Speak Asian and Pacific Island languages</t>
  </si>
  <si>
    <t>'B16010_039',</t>
  </si>
  <si>
    <t>B16010_039</t>
  </si>
  <si>
    <t>!!Some college or associate's degree:!!Not in labor force:!!Speak Asian and Pacific Island languages</t>
  </si>
  <si>
    <t>Estimate!!Total:!!Some college or associate's degree:!!Not in labor force:!!Speak other languages</t>
  </si>
  <si>
    <t>'B16010_040',</t>
  </si>
  <si>
    <t>B16010_040</t>
  </si>
  <si>
    <t>!!Some college or associate's degree:!!Not in labor force:!!Speak other languages</t>
  </si>
  <si>
    <t>'B16010_041',</t>
  </si>
  <si>
    <t>B16010_041</t>
  </si>
  <si>
    <t>Estimate!!Total:!!Bachelor's degree or higher:!!In labor force:</t>
  </si>
  <si>
    <t>'B16010_042',</t>
  </si>
  <si>
    <t>B16010_042</t>
  </si>
  <si>
    <t>!!Bachelor's degree or higher:!!In labor force:</t>
  </si>
  <si>
    <t>Estimate!!Total:!!Bachelor's degree or higher:!!In labor force:!!Speak only English</t>
  </si>
  <si>
    <t>'B16010_043',</t>
  </si>
  <si>
    <t>B16010_043</t>
  </si>
  <si>
    <t>!!Bachelor's degree or higher:!!In labor force:!!Speak only English</t>
  </si>
  <si>
    <t>Estimate!!Total:!!Bachelor's degree or higher:!!In labor force:!!Speak Spanish</t>
  </si>
  <si>
    <t>'B16010_044',</t>
  </si>
  <si>
    <t>B16010_044</t>
  </si>
  <si>
    <t>!!Bachelor's degree or higher:!!In labor force:!!Speak Spanish</t>
  </si>
  <si>
    <t>Estimate!!Total:!!Bachelor's degree or higher:!!In labor force:!!Speak other Indo-European languages</t>
  </si>
  <si>
    <t>'B16010_045',</t>
  </si>
  <si>
    <t>B16010_045</t>
  </si>
  <si>
    <t>!!Bachelor's degree or higher:!!In labor force:!!Speak other Indo-European languages</t>
  </si>
  <si>
    <t>Estimate!!Total:!!Bachelor's degree or higher:!!In labor force:!!Speak Asian and Pacific Island languages</t>
  </si>
  <si>
    <t>'B16010_046',</t>
  </si>
  <si>
    <t>B16010_046</t>
  </si>
  <si>
    <t>!!Bachelor's degree or higher:!!In labor force:!!Speak Asian and Pacific Island languages</t>
  </si>
  <si>
    <t>Estimate!!Total:!!Bachelor's degree or higher:!!In labor force:!!Speak other languages</t>
  </si>
  <si>
    <t>'B16010_047',</t>
  </si>
  <si>
    <t>B16010_047</t>
  </si>
  <si>
    <t>!!Bachelor's degree or higher:!!In labor force:!!Speak other languages</t>
  </si>
  <si>
    <t>Estimate!!Total:!!Bachelor's degree or higher:!!Not in labor force:</t>
  </si>
  <si>
    <t>'B16010_048',</t>
  </si>
  <si>
    <t>B16010_048</t>
  </si>
  <si>
    <t>!!Bachelor's degree or higher:!!Not in labor force:</t>
  </si>
  <si>
    <t>Estimate!!Total:!!Bachelor's degree or higher:!!Not in labor force:!!Speak only English</t>
  </si>
  <si>
    <t>'B16010_049',</t>
  </si>
  <si>
    <t>B16010_049</t>
  </si>
  <si>
    <t>!!Bachelor's degree or higher:!!Not in labor force:!!Speak only English</t>
  </si>
  <si>
    <t>Estimate!!Total:!!Bachelor's degree or higher:!!Not in labor force:!!Speak Spanish</t>
  </si>
  <si>
    <t>'B16010_050',</t>
  </si>
  <si>
    <t>B16010_050</t>
  </si>
  <si>
    <t>!!Bachelor's degree or higher:!!Not in labor force:!!Speak Spanish</t>
  </si>
  <si>
    <t>Estimate!!Total:!!Bachelor's degree or higher:!!Not in labor force:!!Speak other Indo-European languages</t>
  </si>
  <si>
    <t>'B16010_051',</t>
  </si>
  <si>
    <t>B16010_051</t>
  </si>
  <si>
    <t>!!Bachelor's degree or higher:!!Not in labor force:!!Speak other Indo-European languages</t>
  </si>
  <si>
    <t>Estimate!!Total:!!Bachelor's degree or higher:!!Not in labor force:!!Speak Asian and Pacific Island languages</t>
  </si>
  <si>
    <t>'B16010_052',</t>
  </si>
  <si>
    <t>B16010_052</t>
  </si>
  <si>
    <t>!!Bachelor's degree or higher:!!Not in labor force:!!Speak Asian and Pacific Island languages</t>
  </si>
  <si>
    <t>Estimate!!Total:!!Bachelor's degree or higher:!!Not in labor force:!!Speak other languages</t>
  </si>
  <si>
    <t>'B16010_053',</t>
  </si>
  <si>
    <t>B16010_053</t>
  </si>
  <si>
    <t>!!Bachelor's degree or higher:!!Not in labor force:!!Speak other languages</t>
  </si>
  <si>
    <t>Health Insurance Coverage Status by Age (White Alone)</t>
  </si>
  <si>
    <t>C27001A_001</t>
  </si>
  <si>
    <t>Estimate!!Total:!!Under 19 years:</t>
  </si>
  <si>
    <t>C27001A_002</t>
  </si>
  <si>
    <t>Estimate!!Total:!!Under 19 years:!!With health insurance coverage</t>
  </si>
  <si>
    <t>C27001A_003</t>
  </si>
  <si>
    <t>Estimate!!Total:!!Under 19 years:!!No health insurance coverage</t>
  </si>
  <si>
    <t>C27001A_004</t>
  </si>
  <si>
    <t>Estimate!!Total:!!19 to 64 years:</t>
  </si>
  <si>
    <t>C27001A_005</t>
  </si>
  <si>
    <t>Estimate!!Total:!!19 to 64 years:!!With health insurance coverage</t>
  </si>
  <si>
    <t>C27001A_006</t>
  </si>
  <si>
    <t>Estimate!!Total:!!19 to 64 years:!!No health insurance coverage</t>
  </si>
  <si>
    <t>C27001A_007</t>
  </si>
  <si>
    <t>C27001A_008</t>
  </si>
  <si>
    <t>Estimate!!Total:!!65 years and over:!!With health insurance coverage</t>
  </si>
  <si>
    <t>C27001A_009</t>
  </si>
  <si>
    <t>Estimate!!Total:!!65 years and over:!!No health insurance coverage</t>
  </si>
  <si>
    <t>C27001A_010</t>
  </si>
  <si>
    <t>Health Insurance Coverage Status by Age (Black or African American Alone)</t>
  </si>
  <si>
    <t>C27001B_001</t>
  </si>
  <si>
    <t>C27001B_002</t>
  </si>
  <si>
    <t>C27001B_003</t>
  </si>
  <si>
    <t>C27001B_004</t>
  </si>
  <si>
    <t>C27001B_005</t>
  </si>
  <si>
    <t>C27001B_006</t>
  </si>
  <si>
    <t>C27001B_007</t>
  </si>
  <si>
    <t>C27001B_008</t>
  </si>
  <si>
    <t>C27001B_009</t>
  </si>
  <si>
    <t>C27001B_010</t>
  </si>
  <si>
    <t>Health Insurance Coverage Status by Age (American Indian and Alaska Native Alone)</t>
  </si>
  <si>
    <t>C27001C_001</t>
  </si>
  <si>
    <t>C27001C_002</t>
  </si>
  <si>
    <t>C27001C_003</t>
  </si>
  <si>
    <t>C27001C_004</t>
  </si>
  <si>
    <t>C27001C_005</t>
  </si>
  <si>
    <t>C27001C_006</t>
  </si>
  <si>
    <t>C27001C_007</t>
  </si>
  <si>
    <t>C27001C_008</t>
  </si>
  <si>
    <t>C27001C_009</t>
  </si>
  <si>
    <t>C27001C_010</t>
  </si>
  <si>
    <t>Health Insurance Coverage Status by Age (Asian Alone)</t>
  </si>
  <si>
    <t>C27001D_001</t>
  </si>
  <si>
    <t>C27001D_002</t>
  </si>
  <si>
    <t>C27001D_003</t>
  </si>
  <si>
    <t>C27001D_004</t>
  </si>
  <si>
    <t>C27001D_005</t>
  </si>
  <si>
    <t>C27001D_006</t>
  </si>
  <si>
    <t>C27001D_007</t>
  </si>
  <si>
    <t>C27001D_008</t>
  </si>
  <si>
    <t>C27001D_009</t>
  </si>
  <si>
    <t>C27001D_010</t>
  </si>
  <si>
    <t>Health Insurance Coverage Status by Age (Native Hawaiian and Other Pacific Islander Alone)</t>
  </si>
  <si>
    <t>C27001E_001</t>
  </si>
  <si>
    <t>C27001E_002</t>
  </si>
  <si>
    <t>C27001E_003</t>
  </si>
  <si>
    <t>C27001E_004</t>
  </si>
  <si>
    <t>C27001E_005</t>
  </si>
  <si>
    <t>C27001E_006</t>
  </si>
  <si>
    <t>C27001E_007</t>
  </si>
  <si>
    <t>C27001E_008</t>
  </si>
  <si>
    <t>C27001E_009</t>
  </si>
  <si>
    <t>C27001E_010</t>
  </si>
  <si>
    <t>Health Insurance Coverage Status by Age (Some Other Race Alone)</t>
  </si>
  <si>
    <t>C27001F_001</t>
  </si>
  <si>
    <t>C27001F_002</t>
  </si>
  <si>
    <t>C27001F_003</t>
  </si>
  <si>
    <t>C27001F_004</t>
  </si>
  <si>
    <t>C27001F_005</t>
  </si>
  <si>
    <t>C27001F_006</t>
  </si>
  <si>
    <t>C27001F_007</t>
  </si>
  <si>
    <t>C27001F_008</t>
  </si>
  <si>
    <t>C27001F_009</t>
  </si>
  <si>
    <t>C27001F_010</t>
  </si>
  <si>
    <t>Health Insurance Coverage Status by Age (Two or More Races)</t>
  </si>
  <si>
    <t>C27001G_001</t>
  </si>
  <si>
    <t>C27001G_002</t>
  </si>
  <si>
    <t>C27001G_003</t>
  </si>
  <si>
    <t>C27001G_004</t>
  </si>
  <si>
    <t>C27001G_005</t>
  </si>
  <si>
    <t>C27001G_006</t>
  </si>
  <si>
    <t>C27001G_007</t>
  </si>
  <si>
    <t>C27001G_008</t>
  </si>
  <si>
    <t>C27001G_009</t>
  </si>
  <si>
    <t>C27001G_010</t>
  </si>
  <si>
    <t>Health Insurance Coverage Status by Age (White Alone, Not Hispanic or Latino)</t>
  </si>
  <si>
    <t>C27001H_001</t>
  </si>
  <si>
    <t>C27001H_002</t>
  </si>
  <si>
    <t>C27001H_003</t>
  </si>
  <si>
    <t>C27001H_004</t>
  </si>
  <si>
    <t>C27001H_005</t>
  </si>
  <si>
    <t>C27001H_006</t>
  </si>
  <si>
    <t>C27001H_007</t>
  </si>
  <si>
    <t>C27001H_008</t>
  </si>
  <si>
    <t>C27001H_009</t>
  </si>
  <si>
    <t>C27001H_010</t>
  </si>
  <si>
    <t>Health Insurance Coverage Status by Age (Hispanic or Latino)</t>
  </si>
  <si>
    <t>C27001I_001</t>
  </si>
  <si>
    <t>C27001I_002</t>
  </si>
  <si>
    <t>C27001I_003</t>
  </si>
  <si>
    <t>C27001I_004</t>
  </si>
  <si>
    <t>C27001I_005</t>
  </si>
  <si>
    <t>C27001I_006</t>
  </si>
  <si>
    <t>C27001I_007</t>
  </si>
  <si>
    <t>C27001I_008</t>
  </si>
  <si>
    <t>C27001I_009</t>
  </si>
  <si>
    <t>C27001I_010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</si>
</sst>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sz val="11.0"/>
      <color rgb="FF0A0A0A"/>
      <name val="Arial"/>
    </font>
    <font>
      <sz val="10.0"/>
      <color rgb="FF222222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shrinkToFit="0" wrapText="0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5" numFmtId="0" xfId="0" applyFont="1"/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ensusreporter.org/" TargetMode="External"/><Relationship Id="rId194" Type="http://schemas.openxmlformats.org/officeDocument/2006/relationships/hyperlink" Target="https://censusreporter.org/" TargetMode="External"/><Relationship Id="rId193" Type="http://schemas.openxmlformats.org/officeDocument/2006/relationships/hyperlink" Target="https://censusreporter.org/" TargetMode="External"/><Relationship Id="rId192" Type="http://schemas.openxmlformats.org/officeDocument/2006/relationships/hyperlink" Target="https://censusreporter.org/" TargetMode="External"/><Relationship Id="rId191" Type="http://schemas.openxmlformats.org/officeDocument/2006/relationships/hyperlink" Target="https://censusreporter.org/" TargetMode="External"/><Relationship Id="rId187" Type="http://schemas.openxmlformats.org/officeDocument/2006/relationships/hyperlink" Target="https://censusreporter.org/" TargetMode="External"/><Relationship Id="rId186" Type="http://schemas.openxmlformats.org/officeDocument/2006/relationships/hyperlink" Target="https://censusreporter.org/" TargetMode="External"/><Relationship Id="rId185" Type="http://schemas.openxmlformats.org/officeDocument/2006/relationships/hyperlink" Target="https://censusreporter.org/" TargetMode="External"/><Relationship Id="rId184" Type="http://schemas.openxmlformats.org/officeDocument/2006/relationships/hyperlink" Target="https://censusreporter.org/" TargetMode="External"/><Relationship Id="rId189" Type="http://schemas.openxmlformats.org/officeDocument/2006/relationships/hyperlink" Target="https://censusreporter.org/" TargetMode="External"/><Relationship Id="rId188" Type="http://schemas.openxmlformats.org/officeDocument/2006/relationships/hyperlink" Target="https://censusreporter.org/" TargetMode="External"/><Relationship Id="rId183" Type="http://schemas.openxmlformats.org/officeDocument/2006/relationships/hyperlink" Target="https://censusreporter.org/" TargetMode="External"/><Relationship Id="rId182" Type="http://schemas.openxmlformats.org/officeDocument/2006/relationships/hyperlink" Target="https://censusreporter.org/" TargetMode="External"/><Relationship Id="rId181" Type="http://schemas.openxmlformats.org/officeDocument/2006/relationships/hyperlink" Target="https://censusreporter.org/" TargetMode="External"/><Relationship Id="rId180" Type="http://schemas.openxmlformats.org/officeDocument/2006/relationships/hyperlink" Target="https://censusreporter.org/" TargetMode="External"/><Relationship Id="rId176" Type="http://schemas.openxmlformats.org/officeDocument/2006/relationships/hyperlink" Target="https://censusreporter.org/" TargetMode="External"/><Relationship Id="rId175" Type="http://schemas.openxmlformats.org/officeDocument/2006/relationships/hyperlink" Target="https://censusreporter.org/" TargetMode="External"/><Relationship Id="rId174" Type="http://schemas.openxmlformats.org/officeDocument/2006/relationships/hyperlink" Target="https://censusreporter.org/" TargetMode="External"/><Relationship Id="rId173" Type="http://schemas.openxmlformats.org/officeDocument/2006/relationships/hyperlink" Target="https://censusreporter.org/" TargetMode="External"/><Relationship Id="rId179" Type="http://schemas.openxmlformats.org/officeDocument/2006/relationships/hyperlink" Target="https://censusreporter.org/" TargetMode="External"/><Relationship Id="rId178" Type="http://schemas.openxmlformats.org/officeDocument/2006/relationships/hyperlink" Target="https://censusreporter.org/" TargetMode="External"/><Relationship Id="rId177" Type="http://schemas.openxmlformats.org/officeDocument/2006/relationships/hyperlink" Target="https://censusreporter.org/" TargetMode="External"/><Relationship Id="rId198" Type="http://schemas.openxmlformats.org/officeDocument/2006/relationships/hyperlink" Target="https://censusreporter.org/" TargetMode="External"/><Relationship Id="rId197" Type="http://schemas.openxmlformats.org/officeDocument/2006/relationships/hyperlink" Target="https://censusreporter.org/" TargetMode="External"/><Relationship Id="rId196" Type="http://schemas.openxmlformats.org/officeDocument/2006/relationships/hyperlink" Target="https://censusreporter.org/" TargetMode="External"/><Relationship Id="rId195" Type="http://schemas.openxmlformats.org/officeDocument/2006/relationships/hyperlink" Target="https://censusreporter.org/" TargetMode="External"/><Relationship Id="rId199" Type="http://schemas.openxmlformats.org/officeDocument/2006/relationships/hyperlink" Target="https://censusreporter.org/" TargetMode="External"/><Relationship Id="rId150" Type="http://schemas.openxmlformats.org/officeDocument/2006/relationships/hyperlink" Target="https://censusreporter.org/" TargetMode="External"/><Relationship Id="rId392" Type="http://schemas.openxmlformats.org/officeDocument/2006/relationships/hyperlink" Target="https://censusreporter.org/" TargetMode="External"/><Relationship Id="rId391" Type="http://schemas.openxmlformats.org/officeDocument/2006/relationships/hyperlink" Target="https://censusreporter.org/" TargetMode="External"/><Relationship Id="rId390" Type="http://schemas.openxmlformats.org/officeDocument/2006/relationships/hyperlink" Target="https://censusreporter.org/" TargetMode="External"/><Relationship Id="rId1" Type="http://schemas.openxmlformats.org/officeDocument/2006/relationships/hyperlink" Target="https://censusreporter.org/" TargetMode="External"/><Relationship Id="rId2" Type="http://schemas.openxmlformats.org/officeDocument/2006/relationships/hyperlink" Target="https://censusreporter.org/" TargetMode="External"/><Relationship Id="rId3" Type="http://schemas.openxmlformats.org/officeDocument/2006/relationships/hyperlink" Target="https://censusreporter.org/" TargetMode="External"/><Relationship Id="rId149" Type="http://schemas.openxmlformats.org/officeDocument/2006/relationships/hyperlink" Target="https://censusreporter.org/" TargetMode="External"/><Relationship Id="rId4" Type="http://schemas.openxmlformats.org/officeDocument/2006/relationships/hyperlink" Target="https://censusreporter.org/" TargetMode="External"/><Relationship Id="rId148" Type="http://schemas.openxmlformats.org/officeDocument/2006/relationships/hyperlink" Target="https://censusreporter.org/" TargetMode="External"/><Relationship Id="rId1090" Type="http://schemas.openxmlformats.org/officeDocument/2006/relationships/hyperlink" Target="https://censusreporter.org/" TargetMode="External"/><Relationship Id="rId1091" Type="http://schemas.openxmlformats.org/officeDocument/2006/relationships/hyperlink" Target="https://censusreporter.org/" TargetMode="External"/><Relationship Id="rId1092" Type="http://schemas.openxmlformats.org/officeDocument/2006/relationships/hyperlink" Target="https://censusreporter.org/" TargetMode="External"/><Relationship Id="rId1093" Type="http://schemas.openxmlformats.org/officeDocument/2006/relationships/hyperlink" Target="https://censusreporter.org/" TargetMode="External"/><Relationship Id="rId1094" Type="http://schemas.openxmlformats.org/officeDocument/2006/relationships/hyperlink" Target="https://censusreporter.org/" TargetMode="External"/><Relationship Id="rId9" Type="http://schemas.openxmlformats.org/officeDocument/2006/relationships/hyperlink" Target="https://censusreporter.org/" TargetMode="External"/><Relationship Id="rId143" Type="http://schemas.openxmlformats.org/officeDocument/2006/relationships/hyperlink" Target="https://censusreporter.org/" TargetMode="External"/><Relationship Id="rId385" Type="http://schemas.openxmlformats.org/officeDocument/2006/relationships/hyperlink" Target="https://censusreporter.org/" TargetMode="External"/><Relationship Id="rId1095" Type="http://schemas.openxmlformats.org/officeDocument/2006/relationships/hyperlink" Target="https://censusreporter.org/" TargetMode="External"/><Relationship Id="rId142" Type="http://schemas.openxmlformats.org/officeDocument/2006/relationships/hyperlink" Target="https://censusreporter.org/" TargetMode="External"/><Relationship Id="rId384" Type="http://schemas.openxmlformats.org/officeDocument/2006/relationships/hyperlink" Target="https://censusreporter.org/" TargetMode="External"/><Relationship Id="rId1096" Type="http://schemas.openxmlformats.org/officeDocument/2006/relationships/hyperlink" Target="https://censusreporter.org/" TargetMode="External"/><Relationship Id="rId141" Type="http://schemas.openxmlformats.org/officeDocument/2006/relationships/hyperlink" Target="https://censusreporter.org/" TargetMode="External"/><Relationship Id="rId383" Type="http://schemas.openxmlformats.org/officeDocument/2006/relationships/hyperlink" Target="https://censusreporter.org/" TargetMode="External"/><Relationship Id="rId1097" Type="http://schemas.openxmlformats.org/officeDocument/2006/relationships/hyperlink" Target="https://censusreporter.org/" TargetMode="External"/><Relationship Id="rId140" Type="http://schemas.openxmlformats.org/officeDocument/2006/relationships/hyperlink" Target="https://censusreporter.org/" TargetMode="External"/><Relationship Id="rId382" Type="http://schemas.openxmlformats.org/officeDocument/2006/relationships/hyperlink" Target="https://censusreporter.org/" TargetMode="External"/><Relationship Id="rId1098" Type="http://schemas.openxmlformats.org/officeDocument/2006/relationships/hyperlink" Target="https://censusreporter.org/" TargetMode="External"/><Relationship Id="rId5" Type="http://schemas.openxmlformats.org/officeDocument/2006/relationships/hyperlink" Target="https://censusreporter.org/" TargetMode="External"/><Relationship Id="rId147" Type="http://schemas.openxmlformats.org/officeDocument/2006/relationships/hyperlink" Target="https://censusreporter.org/" TargetMode="External"/><Relationship Id="rId389" Type="http://schemas.openxmlformats.org/officeDocument/2006/relationships/hyperlink" Target="https://censusreporter.org/" TargetMode="External"/><Relationship Id="rId1099" Type="http://schemas.openxmlformats.org/officeDocument/2006/relationships/hyperlink" Target="https://censusreporter.org/" TargetMode="External"/><Relationship Id="rId6" Type="http://schemas.openxmlformats.org/officeDocument/2006/relationships/hyperlink" Target="https://censusreporter.org/" TargetMode="External"/><Relationship Id="rId146" Type="http://schemas.openxmlformats.org/officeDocument/2006/relationships/hyperlink" Target="https://censusreporter.org/" TargetMode="External"/><Relationship Id="rId388" Type="http://schemas.openxmlformats.org/officeDocument/2006/relationships/hyperlink" Target="https://censusreporter.org/" TargetMode="External"/><Relationship Id="rId7" Type="http://schemas.openxmlformats.org/officeDocument/2006/relationships/hyperlink" Target="https://censusreporter.org/" TargetMode="External"/><Relationship Id="rId145" Type="http://schemas.openxmlformats.org/officeDocument/2006/relationships/hyperlink" Target="https://censusreporter.org/" TargetMode="External"/><Relationship Id="rId387" Type="http://schemas.openxmlformats.org/officeDocument/2006/relationships/hyperlink" Target="https://censusreporter.org/" TargetMode="External"/><Relationship Id="rId8" Type="http://schemas.openxmlformats.org/officeDocument/2006/relationships/hyperlink" Target="https://censusreporter.org/" TargetMode="External"/><Relationship Id="rId144" Type="http://schemas.openxmlformats.org/officeDocument/2006/relationships/hyperlink" Target="https://censusreporter.org/" TargetMode="External"/><Relationship Id="rId386" Type="http://schemas.openxmlformats.org/officeDocument/2006/relationships/hyperlink" Target="https://censusreporter.org/" TargetMode="External"/><Relationship Id="rId381" Type="http://schemas.openxmlformats.org/officeDocument/2006/relationships/hyperlink" Target="https://censusreporter.org/" TargetMode="External"/><Relationship Id="rId380" Type="http://schemas.openxmlformats.org/officeDocument/2006/relationships/hyperlink" Target="https://censusreporter.org/" TargetMode="External"/><Relationship Id="rId139" Type="http://schemas.openxmlformats.org/officeDocument/2006/relationships/hyperlink" Target="https://censusreporter.org/" TargetMode="External"/><Relationship Id="rId138" Type="http://schemas.openxmlformats.org/officeDocument/2006/relationships/hyperlink" Target="https://censusreporter.org/" TargetMode="External"/><Relationship Id="rId137" Type="http://schemas.openxmlformats.org/officeDocument/2006/relationships/hyperlink" Target="https://censusreporter.org/" TargetMode="External"/><Relationship Id="rId379" Type="http://schemas.openxmlformats.org/officeDocument/2006/relationships/hyperlink" Target="https://censusreporter.org/" TargetMode="External"/><Relationship Id="rId1080" Type="http://schemas.openxmlformats.org/officeDocument/2006/relationships/hyperlink" Target="https://censusreporter.org/" TargetMode="External"/><Relationship Id="rId1081" Type="http://schemas.openxmlformats.org/officeDocument/2006/relationships/hyperlink" Target="https://censusreporter.org/" TargetMode="External"/><Relationship Id="rId1082" Type="http://schemas.openxmlformats.org/officeDocument/2006/relationships/hyperlink" Target="https://censusreporter.org/" TargetMode="External"/><Relationship Id="rId1083" Type="http://schemas.openxmlformats.org/officeDocument/2006/relationships/hyperlink" Target="https://censusreporter.org/" TargetMode="External"/><Relationship Id="rId132" Type="http://schemas.openxmlformats.org/officeDocument/2006/relationships/hyperlink" Target="https://censusreporter.org/" TargetMode="External"/><Relationship Id="rId374" Type="http://schemas.openxmlformats.org/officeDocument/2006/relationships/hyperlink" Target="https://censusreporter.org/" TargetMode="External"/><Relationship Id="rId1084" Type="http://schemas.openxmlformats.org/officeDocument/2006/relationships/hyperlink" Target="https://censusreporter.org/" TargetMode="External"/><Relationship Id="rId131" Type="http://schemas.openxmlformats.org/officeDocument/2006/relationships/hyperlink" Target="https://censusreporter.org/" TargetMode="External"/><Relationship Id="rId373" Type="http://schemas.openxmlformats.org/officeDocument/2006/relationships/hyperlink" Target="https://censusreporter.org/" TargetMode="External"/><Relationship Id="rId1085" Type="http://schemas.openxmlformats.org/officeDocument/2006/relationships/hyperlink" Target="https://censusreporter.org/" TargetMode="External"/><Relationship Id="rId130" Type="http://schemas.openxmlformats.org/officeDocument/2006/relationships/hyperlink" Target="https://censusreporter.org/" TargetMode="External"/><Relationship Id="rId372" Type="http://schemas.openxmlformats.org/officeDocument/2006/relationships/hyperlink" Target="https://censusreporter.org/" TargetMode="External"/><Relationship Id="rId1086" Type="http://schemas.openxmlformats.org/officeDocument/2006/relationships/hyperlink" Target="https://censusreporter.org/" TargetMode="External"/><Relationship Id="rId371" Type="http://schemas.openxmlformats.org/officeDocument/2006/relationships/hyperlink" Target="https://censusreporter.org/" TargetMode="External"/><Relationship Id="rId1087" Type="http://schemas.openxmlformats.org/officeDocument/2006/relationships/hyperlink" Target="https://censusreporter.org/" TargetMode="External"/><Relationship Id="rId136" Type="http://schemas.openxmlformats.org/officeDocument/2006/relationships/hyperlink" Target="https://censusreporter.org/" TargetMode="External"/><Relationship Id="rId378" Type="http://schemas.openxmlformats.org/officeDocument/2006/relationships/hyperlink" Target="https://censusreporter.org/" TargetMode="External"/><Relationship Id="rId1088" Type="http://schemas.openxmlformats.org/officeDocument/2006/relationships/hyperlink" Target="https://censusreporter.org/" TargetMode="External"/><Relationship Id="rId135" Type="http://schemas.openxmlformats.org/officeDocument/2006/relationships/hyperlink" Target="https://censusreporter.org/" TargetMode="External"/><Relationship Id="rId377" Type="http://schemas.openxmlformats.org/officeDocument/2006/relationships/hyperlink" Target="https://censusreporter.org/" TargetMode="External"/><Relationship Id="rId1089" Type="http://schemas.openxmlformats.org/officeDocument/2006/relationships/hyperlink" Target="https://censusreporter.org/" TargetMode="External"/><Relationship Id="rId134" Type="http://schemas.openxmlformats.org/officeDocument/2006/relationships/hyperlink" Target="https://censusreporter.org/" TargetMode="External"/><Relationship Id="rId376" Type="http://schemas.openxmlformats.org/officeDocument/2006/relationships/hyperlink" Target="https://censusreporter.org/" TargetMode="External"/><Relationship Id="rId133" Type="http://schemas.openxmlformats.org/officeDocument/2006/relationships/hyperlink" Target="https://censusreporter.org/" TargetMode="External"/><Relationship Id="rId375" Type="http://schemas.openxmlformats.org/officeDocument/2006/relationships/hyperlink" Target="https://censusreporter.org/" TargetMode="External"/><Relationship Id="rId172" Type="http://schemas.openxmlformats.org/officeDocument/2006/relationships/hyperlink" Target="https://censusreporter.org/" TargetMode="External"/><Relationship Id="rId171" Type="http://schemas.openxmlformats.org/officeDocument/2006/relationships/hyperlink" Target="https://censusreporter.org/" TargetMode="External"/><Relationship Id="rId170" Type="http://schemas.openxmlformats.org/officeDocument/2006/relationships/hyperlink" Target="https://censusreporter.org/" TargetMode="External"/><Relationship Id="rId165" Type="http://schemas.openxmlformats.org/officeDocument/2006/relationships/hyperlink" Target="https://censusreporter.org/" TargetMode="External"/><Relationship Id="rId164" Type="http://schemas.openxmlformats.org/officeDocument/2006/relationships/hyperlink" Target="https://censusreporter.org/" TargetMode="External"/><Relationship Id="rId163" Type="http://schemas.openxmlformats.org/officeDocument/2006/relationships/hyperlink" Target="https://censusreporter.org/" TargetMode="External"/><Relationship Id="rId162" Type="http://schemas.openxmlformats.org/officeDocument/2006/relationships/hyperlink" Target="https://censusreporter.org/" TargetMode="External"/><Relationship Id="rId169" Type="http://schemas.openxmlformats.org/officeDocument/2006/relationships/hyperlink" Target="https://censusreporter.org/" TargetMode="External"/><Relationship Id="rId168" Type="http://schemas.openxmlformats.org/officeDocument/2006/relationships/hyperlink" Target="https://censusreporter.org/" TargetMode="External"/><Relationship Id="rId167" Type="http://schemas.openxmlformats.org/officeDocument/2006/relationships/hyperlink" Target="https://censusreporter.org/" TargetMode="External"/><Relationship Id="rId166" Type="http://schemas.openxmlformats.org/officeDocument/2006/relationships/hyperlink" Target="https://censusreporter.org/" TargetMode="External"/><Relationship Id="rId161" Type="http://schemas.openxmlformats.org/officeDocument/2006/relationships/hyperlink" Target="https://censusreporter.org/" TargetMode="External"/><Relationship Id="rId160" Type="http://schemas.openxmlformats.org/officeDocument/2006/relationships/hyperlink" Target="https://censusreporter.org/" TargetMode="External"/><Relationship Id="rId159" Type="http://schemas.openxmlformats.org/officeDocument/2006/relationships/hyperlink" Target="https://censusreporter.org/" TargetMode="External"/><Relationship Id="rId154" Type="http://schemas.openxmlformats.org/officeDocument/2006/relationships/hyperlink" Target="https://censusreporter.org/" TargetMode="External"/><Relationship Id="rId396" Type="http://schemas.openxmlformats.org/officeDocument/2006/relationships/hyperlink" Target="https://censusreporter.org/" TargetMode="External"/><Relationship Id="rId153" Type="http://schemas.openxmlformats.org/officeDocument/2006/relationships/hyperlink" Target="https://censusreporter.org/" TargetMode="External"/><Relationship Id="rId395" Type="http://schemas.openxmlformats.org/officeDocument/2006/relationships/hyperlink" Target="https://censusreporter.org/" TargetMode="External"/><Relationship Id="rId152" Type="http://schemas.openxmlformats.org/officeDocument/2006/relationships/hyperlink" Target="https://censusreporter.org/" TargetMode="External"/><Relationship Id="rId394" Type="http://schemas.openxmlformats.org/officeDocument/2006/relationships/hyperlink" Target="https://censusreporter.org/" TargetMode="External"/><Relationship Id="rId151" Type="http://schemas.openxmlformats.org/officeDocument/2006/relationships/hyperlink" Target="https://censusreporter.org/" TargetMode="External"/><Relationship Id="rId393" Type="http://schemas.openxmlformats.org/officeDocument/2006/relationships/hyperlink" Target="https://censusreporter.org/" TargetMode="External"/><Relationship Id="rId158" Type="http://schemas.openxmlformats.org/officeDocument/2006/relationships/hyperlink" Target="https://censusreporter.org/" TargetMode="External"/><Relationship Id="rId157" Type="http://schemas.openxmlformats.org/officeDocument/2006/relationships/hyperlink" Target="https://censusreporter.org/" TargetMode="External"/><Relationship Id="rId399" Type="http://schemas.openxmlformats.org/officeDocument/2006/relationships/hyperlink" Target="https://censusreporter.org/" TargetMode="External"/><Relationship Id="rId156" Type="http://schemas.openxmlformats.org/officeDocument/2006/relationships/hyperlink" Target="https://censusreporter.org/" TargetMode="External"/><Relationship Id="rId398" Type="http://schemas.openxmlformats.org/officeDocument/2006/relationships/hyperlink" Target="https://censusreporter.org/" TargetMode="External"/><Relationship Id="rId155" Type="http://schemas.openxmlformats.org/officeDocument/2006/relationships/hyperlink" Target="https://censusreporter.org/" TargetMode="External"/><Relationship Id="rId397" Type="http://schemas.openxmlformats.org/officeDocument/2006/relationships/hyperlink" Target="https://censusreporter.org/" TargetMode="External"/><Relationship Id="rId808" Type="http://schemas.openxmlformats.org/officeDocument/2006/relationships/hyperlink" Target="https://censusreporter.org/" TargetMode="External"/><Relationship Id="rId807" Type="http://schemas.openxmlformats.org/officeDocument/2006/relationships/hyperlink" Target="https://censusreporter.org/" TargetMode="External"/><Relationship Id="rId806" Type="http://schemas.openxmlformats.org/officeDocument/2006/relationships/hyperlink" Target="https://censusreporter.org/" TargetMode="External"/><Relationship Id="rId805" Type="http://schemas.openxmlformats.org/officeDocument/2006/relationships/hyperlink" Target="https://censusreporter.org/" TargetMode="External"/><Relationship Id="rId809" Type="http://schemas.openxmlformats.org/officeDocument/2006/relationships/hyperlink" Target="https://censusreporter.org/" TargetMode="External"/><Relationship Id="rId800" Type="http://schemas.openxmlformats.org/officeDocument/2006/relationships/hyperlink" Target="https://censusreporter.org/" TargetMode="External"/><Relationship Id="rId804" Type="http://schemas.openxmlformats.org/officeDocument/2006/relationships/hyperlink" Target="https://censusreporter.org/" TargetMode="External"/><Relationship Id="rId803" Type="http://schemas.openxmlformats.org/officeDocument/2006/relationships/hyperlink" Target="https://censusreporter.org/" TargetMode="External"/><Relationship Id="rId802" Type="http://schemas.openxmlformats.org/officeDocument/2006/relationships/hyperlink" Target="https://censusreporter.org/" TargetMode="External"/><Relationship Id="rId801" Type="http://schemas.openxmlformats.org/officeDocument/2006/relationships/hyperlink" Target="https://censusreporter.org/" TargetMode="External"/><Relationship Id="rId40" Type="http://schemas.openxmlformats.org/officeDocument/2006/relationships/hyperlink" Target="https://censusreporter.org/" TargetMode="External"/><Relationship Id="rId42" Type="http://schemas.openxmlformats.org/officeDocument/2006/relationships/hyperlink" Target="https://censusreporter.org/" TargetMode="External"/><Relationship Id="rId41" Type="http://schemas.openxmlformats.org/officeDocument/2006/relationships/hyperlink" Target="https://censusreporter.org/" TargetMode="External"/><Relationship Id="rId44" Type="http://schemas.openxmlformats.org/officeDocument/2006/relationships/hyperlink" Target="https://censusreporter.org/" TargetMode="External"/><Relationship Id="rId43" Type="http://schemas.openxmlformats.org/officeDocument/2006/relationships/hyperlink" Target="https://censusreporter.org/" TargetMode="External"/><Relationship Id="rId46" Type="http://schemas.openxmlformats.org/officeDocument/2006/relationships/hyperlink" Target="https://censusreporter.org/" TargetMode="External"/><Relationship Id="rId45" Type="http://schemas.openxmlformats.org/officeDocument/2006/relationships/hyperlink" Target="https://censusreporter.org/" TargetMode="External"/><Relationship Id="rId509" Type="http://schemas.openxmlformats.org/officeDocument/2006/relationships/hyperlink" Target="https://censusreporter.org/" TargetMode="External"/><Relationship Id="rId508" Type="http://schemas.openxmlformats.org/officeDocument/2006/relationships/hyperlink" Target="https://censusreporter.org/" TargetMode="External"/><Relationship Id="rId503" Type="http://schemas.openxmlformats.org/officeDocument/2006/relationships/hyperlink" Target="https://censusreporter.org/" TargetMode="External"/><Relationship Id="rId745" Type="http://schemas.openxmlformats.org/officeDocument/2006/relationships/hyperlink" Target="https://censusreporter.org/" TargetMode="External"/><Relationship Id="rId987" Type="http://schemas.openxmlformats.org/officeDocument/2006/relationships/hyperlink" Target="https://censusreporter.org/" TargetMode="External"/><Relationship Id="rId502" Type="http://schemas.openxmlformats.org/officeDocument/2006/relationships/hyperlink" Target="https://censusreporter.org/" TargetMode="External"/><Relationship Id="rId744" Type="http://schemas.openxmlformats.org/officeDocument/2006/relationships/hyperlink" Target="https://censusreporter.org/" TargetMode="External"/><Relationship Id="rId986" Type="http://schemas.openxmlformats.org/officeDocument/2006/relationships/hyperlink" Target="https://censusreporter.org/" TargetMode="External"/><Relationship Id="rId501" Type="http://schemas.openxmlformats.org/officeDocument/2006/relationships/hyperlink" Target="https://censusreporter.org/" TargetMode="External"/><Relationship Id="rId743" Type="http://schemas.openxmlformats.org/officeDocument/2006/relationships/hyperlink" Target="https://censusreporter.org/" TargetMode="External"/><Relationship Id="rId985" Type="http://schemas.openxmlformats.org/officeDocument/2006/relationships/hyperlink" Target="https://censusreporter.org/" TargetMode="External"/><Relationship Id="rId500" Type="http://schemas.openxmlformats.org/officeDocument/2006/relationships/hyperlink" Target="https://censusreporter.org/" TargetMode="External"/><Relationship Id="rId742" Type="http://schemas.openxmlformats.org/officeDocument/2006/relationships/hyperlink" Target="https://censusreporter.org/" TargetMode="External"/><Relationship Id="rId984" Type="http://schemas.openxmlformats.org/officeDocument/2006/relationships/hyperlink" Target="https://censusreporter.org/" TargetMode="External"/><Relationship Id="rId507" Type="http://schemas.openxmlformats.org/officeDocument/2006/relationships/hyperlink" Target="https://censusreporter.org/" TargetMode="External"/><Relationship Id="rId749" Type="http://schemas.openxmlformats.org/officeDocument/2006/relationships/hyperlink" Target="https://censusreporter.org/" TargetMode="External"/><Relationship Id="rId506" Type="http://schemas.openxmlformats.org/officeDocument/2006/relationships/hyperlink" Target="https://censusreporter.org/" TargetMode="External"/><Relationship Id="rId748" Type="http://schemas.openxmlformats.org/officeDocument/2006/relationships/hyperlink" Target="https://censusreporter.org/" TargetMode="External"/><Relationship Id="rId505" Type="http://schemas.openxmlformats.org/officeDocument/2006/relationships/hyperlink" Target="https://censusreporter.org/" TargetMode="External"/><Relationship Id="rId747" Type="http://schemas.openxmlformats.org/officeDocument/2006/relationships/hyperlink" Target="https://censusreporter.org/" TargetMode="External"/><Relationship Id="rId989" Type="http://schemas.openxmlformats.org/officeDocument/2006/relationships/hyperlink" Target="https://censusreporter.org/" TargetMode="External"/><Relationship Id="rId504" Type="http://schemas.openxmlformats.org/officeDocument/2006/relationships/hyperlink" Target="https://censusreporter.org/" TargetMode="External"/><Relationship Id="rId746" Type="http://schemas.openxmlformats.org/officeDocument/2006/relationships/hyperlink" Target="https://censusreporter.org/" TargetMode="External"/><Relationship Id="rId988" Type="http://schemas.openxmlformats.org/officeDocument/2006/relationships/hyperlink" Target="https://censusreporter.org/" TargetMode="External"/><Relationship Id="rId48" Type="http://schemas.openxmlformats.org/officeDocument/2006/relationships/hyperlink" Target="https://censusreporter.org/" TargetMode="External"/><Relationship Id="rId47" Type="http://schemas.openxmlformats.org/officeDocument/2006/relationships/hyperlink" Target="https://censusreporter.org/" TargetMode="External"/><Relationship Id="rId49" Type="http://schemas.openxmlformats.org/officeDocument/2006/relationships/hyperlink" Target="https://censusreporter.org/" TargetMode="External"/><Relationship Id="rId741" Type="http://schemas.openxmlformats.org/officeDocument/2006/relationships/hyperlink" Target="https://censusreporter.org/" TargetMode="External"/><Relationship Id="rId983" Type="http://schemas.openxmlformats.org/officeDocument/2006/relationships/hyperlink" Target="https://censusreporter.org/" TargetMode="External"/><Relationship Id="rId740" Type="http://schemas.openxmlformats.org/officeDocument/2006/relationships/hyperlink" Target="https://censusreporter.org/" TargetMode="External"/><Relationship Id="rId982" Type="http://schemas.openxmlformats.org/officeDocument/2006/relationships/hyperlink" Target="https://censusreporter.org/" TargetMode="External"/><Relationship Id="rId981" Type="http://schemas.openxmlformats.org/officeDocument/2006/relationships/hyperlink" Target="https://censusreporter.org/" TargetMode="External"/><Relationship Id="rId980" Type="http://schemas.openxmlformats.org/officeDocument/2006/relationships/hyperlink" Target="https://censusreporter.org/" TargetMode="External"/><Relationship Id="rId31" Type="http://schemas.openxmlformats.org/officeDocument/2006/relationships/hyperlink" Target="https://censusreporter.org/" TargetMode="External"/><Relationship Id="rId30" Type="http://schemas.openxmlformats.org/officeDocument/2006/relationships/hyperlink" Target="https://censusreporter.org/" TargetMode="External"/><Relationship Id="rId33" Type="http://schemas.openxmlformats.org/officeDocument/2006/relationships/hyperlink" Target="https://censusreporter.org/" TargetMode="External"/><Relationship Id="rId32" Type="http://schemas.openxmlformats.org/officeDocument/2006/relationships/hyperlink" Target="https://censusreporter.org/" TargetMode="External"/><Relationship Id="rId35" Type="http://schemas.openxmlformats.org/officeDocument/2006/relationships/hyperlink" Target="https://censusreporter.org/" TargetMode="External"/><Relationship Id="rId34" Type="http://schemas.openxmlformats.org/officeDocument/2006/relationships/hyperlink" Target="https://censusreporter.org/" TargetMode="External"/><Relationship Id="rId739" Type="http://schemas.openxmlformats.org/officeDocument/2006/relationships/hyperlink" Target="https://censusreporter.org/" TargetMode="External"/><Relationship Id="rId734" Type="http://schemas.openxmlformats.org/officeDocument/2006/relationships/hyperlink" Target="https://censusreporter.org/" TargetMode="External"/><Relationship Id="rId976" Type="http://schemas.openxmlformats.org/officeDocument/2006/relationships/hyperlink" Target="https://censusreporter.org/" TargetMode="External"/><Relationship Id="rId733" Type="http://schemas.openxmlformats.org/officeDocument/2006/relationships/hyperlink" Target="https://censusreporter.org/" TargetMode="External"/><Relationship Id="rId975" Type="http://schemas.openxmlformats.org/officeDocument/2006/relationships/hyperlink" Target="https://censusreporter.org/" TargetMode="External"/><Relationship Id="rId732" Type="http://schemas.openxmlformats.org/officeDocument/2006/relationships/hyperlink" Target="https://censusreporter.org/" TargetMode="External"/><Relationship Id="rId974" Type="http://schemas.openxmlformats.org/officeDocument/2006/relationships/hyperlink" Target="https://censusreporter.org/" TargetMode="External"/><Relationship Id="rId731" Type="http://schemas.openxmlformats.org/officeDocument/2006/relationships/hyperlink" Target="https://censusreporter.org/" TargetMode="External"/><Relationship Id="rId973" Type="http://schemas.openxmlformats.org/officeDocument/2006/relationships/hyperlink" Target="https://censusreporter.org/" TargetMode="External"/><Relationship Id="rId738" Type="http://schemas.openxmlformats.org/officeDocument/2006/relationships/hyperlink" Target="https://censusreporter.org/" TargetMode="External"/><Relationship Id="rId737" Type="http://schemas.openxmlformats.org/officeDocument/2006/relationships/hyperlink" Target="https://censusreporter.org/" TargetMode="External"/><Relationship Id="rId979" Type="http://schemas.openxmlformats.org/officeDocument/2006/relationships/hyperlink" Target="https://censusreporter.org/" TargetMode="External"/><Relationship Id="rId736" Type="http://schemas.openxmlformats.org/officeDocument/2006/relationships/hyperlink" Target="https://censusreporter.org/" TargetMode="External"/><Relationship Id="rId978" Type="http://schemas.openxmlformats.org/officeDocument/2006/relationships/hyperlink" Target="https://censusreporter.org/" TargetMode="External"/><Relationship Id="rId735" Type="http://schemas.openxmlformats.org/officeDocument/2006/relationships/hyperlink" Target="https://censusreporter.org/" TargetMode="External"/><Relationship Id="rId977" Type="http://schemas.openxmlformats.org/officeDocument/2006/relationships/hyperlink" Target="https://censusreporter.org/" TargetMode="External"/><Relationship Id="rId37" Type="http://schemas.openxmlformats.org/officeDocument/2006/relationships/hyperlink" Target="https://censusreporter.org/" TargetMode="External"/><Relationship Id="rId36" Type="http://schemas.openxmlformats.org/officeDocument/2006/relationships/hyperlink" Target="https://censusreporter.org/" TargetMode="External"/><Relationship Id="rId39" Type="http://schemas.openxmlformats.org/officeDocument/2006/relationships/hyperlink" Target="https://censusreporter.org/" TargetMode="External"/><Relationship Id="rId38" Type="http://schemas.openxmlformats.org/officeDocument/2006/relationships/hyperlink" Target="https://censusreporter.org/" TargetMode="External"/><Relationship Id="rId730" Type="http://schemas.openxmlformats.org/officeDocument/2006/relationships/hyperlink" Target="https://censusreporter.org/" TargetMode="External"/><Relationship Id="rId972" Type="http://schemas.openxmlformats.org/officeDocument/2006/relationships/hyperlink" Target="https://censusreporter.org/" TargetMode="External"/><Relationship Id="rId971" Type="http://schemas.openxmlformats.org/officeDocument/2006/relationships/hyperlink" Target="https://censusreporter.org/" TargetMode="External"/><Relationship Id="rId970" Type="http://schemas.openxmlformats.org/officeDocument/2006/relationships/hyperlink" Target="https://censusreporter.org/" TargetMode="External"/><Relationship Id="rId1114" Type="http://schemas.openxmlformats.org/officeDocument/2006/relationships/hyperlink" Target="https://censusreporter.org/" TargetMode="External"/><Relationship Id="rId1115" Type="http://schemas.openxmlformats.org/officeDocument/2006/relationships/hyperlink" Target="https://censusreporter.org/" TargetMode="External"/><Relationship Id="rId20" Type="http://schemas.openxmlformats.org/officeDocument/2006/relationships/hyperlink" Target="https://censusreporter.org/" TargetMode="External"/><Relationship Id="rId1116" Type="http://schemas.openxmlformats.org/officeDocument/2006/relationships/hyperlink" Target="https://censusreporter.org/" TargetMode="External"/><Relationship Id="rId1117" Type="http://schemas.openxmlformats.org/officeDocument/2006/relationships/hyperlink" Target="https://censusreporter.org/" TargetMode="External"/><Relationship Id="rId22" Type="http://schemas.openxmlformats.org/officeDocument/2006/relationships/hyperlink" Target="https://censusreporter.org/" TargetMode="External"/><Relationship Id="rId1118" Type="http://schemas.openxmlformats.org/officeDocument/2006/relationships/hyperlink" Target="https://censusreporter.org/" TargetMode="External"/><Relationship Id="rId21" Type="http://schemas.openxmlformats.org/officeDocument/2006/relationships/hyperlink" Target="https://censusreporter.org/" TargetMode="External"/><Relationship Id="rId1119" Type="http://schemas.openxmlformats.org/officeDocument/2006/relationships/hyperlink" Target="https://censusreporter.org/" TargetMode="External"/><Relationship Id="rId24" Type="http://schemas.openxmlformats.org/officeDocument/2006/relationships/hyperlink" Target="https://censusreporter.org/" TargetMode="External"/><Relationship Id="rId23" Type="http://schemas.openxmlformats.org/officeDocument/2006/relationships/hyperlink" Target="https://censusreporter.org/" TargetMode="External"/><Relationship Id="rId525" Type="http://schemas.openxmlformats.org/officeDocument/2006/relationships/hyperlink" Target="https://censusreporter.org/" TargetMode="External"/><Relationship Id="rId767" Type="http://schemas.openxmlformats.org/officeDocument/2006/relationships/hyperlink" Target="https://censusreporter.org/" TargetMode="External"/><Relationship Id="rId524" Type="http://schemas.openxmlformats.org/officeDocument/2006/relationships/hyperlink" Target="https://censusreporter.org/" TargetMode="External"/><Relationship Id="rId766" Type="http://schemas.openxmlformats.org/officeDocument/2006/relationships/hyperlink" Target="https://censusreporter.org/" TargetMode="External"/><Relationship Id="rId523" Type="http://schemas.openxmlformats.org/officeDocument/2006/relationships/hyperlink" Target="https://censusreporter.org/" TargetMode="External"/><Relationship Id="rId765" Type="http://schemas.openxmlformats.org/officeDocument/2006/relationships/hyperlink" Target="https://censusreporter.org/" TargetMode="External"/><Relationship Id="rId522" Type="http://schemas.openxmlformats.org/officeDocument/2006/relationships/hyperlink" Target="https://censusreporter.org/" TargetMode="External"/><Relationship Id="rId764" Type="http://schemas.openxmlformats.org/officeDocument/2006/relationships/hyperlink" Target="https://censusreporter.org/" TargetMode="External"/><Relationship Id="rId529" Type="http://schemas.openxmlformats.org/officeDocument/2006/relationships/hyperlink" Target="https://censusreporter.org/" TargetMode="External"/><Relationship Id="rId528" Type="http://schemas.openxmlformats.org/officeDocument/2006/relationships/hyperlink" Target="https://censusreporter.org/" TargetMode="External"/><Relationship Id="rId527" Type="http://schemas.openxmlformats.org/officeDocument/2006/relationships/hyperlink" Target="https://censusreporter.org/" TargetMode="External"/><Relationship Id="rId769" Type="http://schemas.openxmlformats.org/officeDocument/2006/relationships/hyperlink" Target="https://censusreporter.org/" TargetMode="External"/><Relationship Id="rId526" Type="http://schemas.openxmlformats.org/officeDocument/2006/relationships/hyperlink" Target="https://censusreporter.org/" TargetMode="External"/><Relationship Id="rId768" Type="http://schemas.openxmlformats.org/officeDocument/2006/relationships/hyperlink" Target="https://censusreporter.org/" TargetMode="External"/><Relationship Id="rId26" Type="http://schemas.openxmlformats.org/officeDocument/2006/relationships/hyperlink" Target="https://censusreporter.org/" TargetMode="External"/><Relationship Id="rId25" Type="http://schemas.openxmlformats.org/officeDocument/2006/relationships/hyperlink" Target="https://censusreporter.org/" TargetMode="External"/><Relationship Id="rId28" Type="http://schemas.openxmlformats.org/officeDocument/2006/relationships/hyperlink" Target="https://censusreporter.org/" TargetMode="External"/><Relationship Id="rId27" Type="http://schemas.openxmlformats.org/officeDocument/2006/relationships/hyperlink" Target="https://censusreporter.org/" TargetMode="External"/><Relationship Id="rId521" Type="http://schemas.openxmlformats.org/officeDocument/2006/relationships/hyperlink" Target="https://censusreporter.org/" TargetMode="External"/><Relationship Id="rId763" Type="http://schemas.openxmlformats.org/officeDocument/2006/relationships/hyperlink" Target="https://censusreporter.org/" TargetMode="External"/><Relationship Id="rId1110" Type="http://schemas.openxmlformats.org/officeDocument/2006/relationships/hyperlink" Target="https://censusreporter.org/" TargetMode="External"/><Relationship Id="rId29" Type="http://schemas.openxmlformats.org/officeDocument/2006/relationships/hyperlink" Target="https://censusreporter.org/" TargetMode="External"/><Relationship Id="rId520" Type="http://schemas.openxmlformats.org/officeDocument/2006/relationships/hyperlink" Target="https://censusreporter.org/" TargetMode="External"/><Relationship Id="rId762" Type="http://schemas.openxmlformats.org/officeDocument/2006/relationships/hyperlink" Target="https://censusreporter.org/" TargetMode="External"/><Relationship Id="rId1111" Type="http://schemas.openxmlformats.org/officeDocument/2006/relationships/hyperlink" Target="https://censusreporter.org/" TargetMode="External"/><Relationship Id="rId761" Type="http://schemas.openxmlformats.org/officeDocument/2006/relationships/hyperlink" Target="https://censusreporter.org/" TargetMode="External"/><Relationship Id="rId1112" Type="http://schemas.openxmlformats.org/officeDocument/2006/relationships/hyperlink" Target="https://censusreporter.org/" TargetMode="External"/><Relationship Id="rId760" Type="http://schemas.openxmlformats.org/officeDocument/2006/relationships/hyperlink" Target="https://censusreporter.org/" TargetMode="External"/><Relationship Id="rId1113" Type="http://schemas.openxmlformats.org/officeDocument/2006/relationships/hyperlink" Target="https://censusreporter.org/" TargetMode="External"/><Relationship Id="rId1103" Type="http://schemas.openxmlformats.org/officeDocument/2006/relationships/hyperlink" Target="https://censusreporter.org/" TargetMode="External"/><Relationship Id="rId1104" Type="http://schemas.openxmlformats.org/officeDocument/2006/relationships/hyperlink" Target="https://censusreporter.org/" TargetMode="External"/><Relationship Id="rId1105" Type="http://schemas.openxmlformats.org/officeDocument/2006/relationships/hyperlink" Target="https://censusreporter.org/" TargetMode="External"/><Relationship Id="rId1106" Type="http://schemas.openxmlformats.org/officeDocument/2006/relationships/hyperlink" Target="https://censusreporter.org/" TargetMode="External"/><Relationship Id="rId11" Type="http://schemas.openxmlformats.org/officeDocument/2006/relationships/hyperlink" Target="https://censusreporter.org/" TargetMode="External"/><Relationship Id="rId1107" Type="http://schemas.openxmlformats.org/officeDocument/2006/relationships/hyperlink" Target="https://censusreporter.org/" TargetMode="External"/><Relationship Id="rId10" Type="http://schemas.openxmlformats.org/officeDocument/2006/relationships/hyperlink" Target="https://censusreporter.org/" TargetMode="External"/><Relationship Id="rId1108" Type="http://schemas.openxmlformats.org/officeDocument/2006/relationships/hyperlink" Target="https://censusreporter.org/" TargetMode="External"/><Relationship Id="rId13" Type="http://schemas.openxmlformats.org/officeDocument/2006/relationships/hyperlink" Target="https://censusreporter.org/" TargetMode="External"/><Relationship Id="rId1109" Type="http://schemas.openxmlformats.org/officeDocument/2006/relationships/hyperlink" Target="https://censusreporter.org/" TargetMode="External"/><Relationship Id="rId12" Type="http://schemas.openxmlformats.org/officeDocument/2006/relationships/hyperlink" Target="https://censusreporter.org/" TargetMode="External"/><Relationship Id="rId519" Type="http://schemas.openxmlformats.org/officeDocument/2006/relationships/hyperlink" Target="https://censusreporter.org/" TargetMode="External"/><Relationship Id="rId514" Type="http://schemas.openxmlformats.org/officeDocument/2006/relationships/hyperlink" Target="https://censusreporter.org/" TargetMode="External"/><Relationship Id="rId756" Type="http://schemas.openxmlformats.org/officeDocument/2006/relationships/hyperlink" Target="https://censusreporter.org/" TargetMode="External"/><Relationship Id="rId998" Type="http://schemas.openxmlformats.org/officeDocument/2006/relationships/hyperlink" Target="https://censusreporter.org/" TargetMode="External"/><Relationship Id="rId513" Type="http://schemas.openxmlformats.org/officeDocument/2006/relationships/hyperlink" Target="https://censusreporter.org/" TargetMode="External"/><Relationship Id="rId755" Type="http://schemas.openxmlformats.org/officeDocument/2006/relationships/hyperlink" Target="https://censusreporter.org/" TargetMode="External"/><Relationship Id="rId997" Type="http://schemas.openxmlformats.org/officeDocument/2006/relationships/hyperlink" Target="https://censusreporter.org/" TargetMode="External"/><Relationship Id="rId512" Type="http://schemas.openxmlformats.org/officeDocument/2006/relationships/hyperlink" Target="https://censusreporter.org/" TargetMode="External"/><Relationship Id="rId754" Type="http://schemas.openxmlformats.org/officeDocument/2006/relationships/hyperlink" Target="https://censusreporter.org/" TargetMode="External"/><Relationship Id="rId996" Type="http://schemas.openxmlformats.org/officeDocument/2006/relationships/hyperlink" Target="https://censusreporter.org/" TargetMode="External"/><Relationship Id="rId511" Type="http://schemas.openxmlformats.org/officeDocument/2006/relationships/hyperlink" Target="https://censusreporter.org/" TargetMode="External"/><Relationship Id="rId753" Type="http://schemas.openxmlformats.org/officeDocument/2006/relationships/hyperlink" Target="https://censusreporter.org/" TargetMode="External"/><Relationship Id="rId995" Type="http://schemas.openxmlformats.org/officeDocument/2006/relationships/hyperlink" Target="https://censusreporter.org/" TargetMode="External"/><Relationship Id="rId518" Type="http://schemas.openxmlformats.org/officeDocument/2006/relationships/hyperlink" Target="https://censusreporter.org/" TargetMode="External"/><Relationship Id="rId517" Type="http://schemas.openxmlformats.org/officeDocument/2006/relationships/hyperlink" Target="https://censusreporter.org/" TargetMode="External"/><Relationship Id="rId759" Type="http://schemas.openxmlformats.org/officeDocument/2006/relationships/hyperlink" Target="https://censusreporter.org/" TargetMode="External"/><Relationship Id="rId516" Type="http://schemas.openxmlformats.org/officeDocument/2006/relationships/hyperlink" Target="https://censusreporter.org/" TargetMode="External"/><Relationship Id="rId758" Type="http://schemas.openxmlformats.org/officeDocument/2006/relationships/hyperlink" Target="https://censusreporter.org/" TargetMode="External"/><Relationship Id="rId515" Type="http://schemas.openxmlformats.org/officeDocument/2006/relationships/hyperlink" Target="https://censusreporter.org/" TargetMode="External"/><Relationship Id="rId757" Type="http://schemas.openxmlformats.org/officeDocument/2006/relationships/hyperlink" Target="https://censusreporter.org/" TargetMode="External"/><Relationship Id="rId999" Type="http://schemas.openxmlformats.org/officeDocument/2006/relationships/hyperlink" Target="https://censusreporter.org/" TargetMode="External"/><Relationship Id="rId15" Type="http://schemas.openxmlformats.org/officeDocument/2006/relationships/hyperlink" Target="https://censusreporter.org/" TargetMode="External"/><Relationship Id="rId990" Type="http://schemas.openxmlformats.org/officeDocument/2006/relationships/hyperlink" Target="https://censusreporter.org/" TargetMode="External"/><Relationship Id="rId14" Type="http://schemas.openxmlformats.org/officeDocument/2006/relationships/hyperlink" Target="https://censusreporter.org/" TargetMode="External"/><Relationship Id="rId17" Type="http://schemas.openxmlformats.org/officeDocument/2006/relationships/hyperlink" Target="https://censusreporter.org/" TargetMode="External"/><Relationship Id="rId16" Type="http://schemas.openxmlformats.org/officeDocument/2006/relationships/hyperlink" Target="https://censusreporter.org/" TargetMode="External"/><Relationship Id="rId19" Type="http://schemas.openxmlformats.org/officeDocument/2006/relationships/hyperlink" Target="https://censusreporter.org/" TargetMode="External"/><Relationship Id="rId510" Type="http://schemas.openxmlformats.org/officeDocument/2006/relationships/hyperlink" Target="https://censusreporter.org/" TargetMode="External"/><Relationship Id="rId752" Type="http://schemas.openxmlformats.org/officeDocument/2006/relationships/hyperlink" Target="https://censusreporter.org/" TargetMode="External"/><Relationship Id="rId994" Type="http://schemas.openxmlformats.org/officeDocument/2006/relationships/hyperlink" Target="https://censusreporter.org/" TargetMode="External"/><Relationship Id="rId18" Type="http://schemas.openxmlformats.org/officeDocument/2006/relationships/hyperlink" Target="https://censusreporter.org/" TargetMode="External"/><Relationship Id="rId751" Type="http://schemas.openxmlformats.org/officeDocument/2006/relationships/hyperlink" Target="https://censusreporter.org/" TargetMode="External"/><Relationship Id="rId993" Type="http://schemas.openxmlformats.org/officeDocument/2006/relationships/hyperlink" Target="https://censusreporter.org/" TargetMode="External"/><Relationship Id="rId1100" Type="http://schemas.openxmlformats.org/officeDocument/2006/relationships/hyperlink" Target="https://censusreporter.org/" TargetMode="External"/><Relationship Id="rId750" Type="http://schemas.openxmlformats.org/officeDocument/2006/relationships/hyperlink" Target="https://censusreporter.org/" TargetMode="External"/><Relationship Id="rId992" Type="http://schemas.openxmlformats.org/officeDocument/2006/relationships/hyperlink" Target="https://censusreporter.org/" TargetMode="External"/><Relationship Id="rId1101" Type="http://schemas.openxmlformats.org/officeDocument/2006/relationships/hyperlink" Target="https://censusreporter.org/" TargetMode="External"/><Relationship Id="rId991" Type="http://schemas.openxmlformats.org/officeDocument/2006/relationships/hyperlink" Target="https://censusreporter.org/" TargetMode="External"/><Relationship Id="rId1102" Type="http://schemas.openxmlformats.org/officeDocument/2006/relationships/hyperlink" Target="https://censusreporter.org/" TargetMode="External"/><Relationship Id="rId84" Type="http://schemas.openxmlformats.org/officeDocument/2006/relationships/hyperlink" Target="https://censusreporter.org/" TargetMode="External"/><Relationship Id="rId83" Type="http://schemas.openxmlformats.org/officeDocument/2006/relationships/hyperlink" Target="https://censusreporter.org/" TargetMode="External"/><Relationship Id="rId86" Type="http://schemas.openxmlformats.org/officeDocument/2006/relationships/hyperlink" Target="https://censusreporter.org/" TargetMode="External"/><Relationship Id="rId85" Type="http://schemas.openxmlformats.org/officeDocument/2006/relationships/hyperlink" Target="https://censusreporter.org/" TargetMode="External"/><Relationship Id="rId88" Type="http://schemas.openxmlformats.org/officeDocument/2006/relationships/hyperlink" Target="https://censusreporter.org/" TargetMode="External"/><Relationship Id="rId87" Type="http://schemas.openxmlformats.org/officeDocument/2006/relationships/hyperlink" Target="https://censusreporter.org/" TargetMode="External"/><Relationship Id="rId89" Type="http://schemas.openxmlformats.org/officeDocument/2006/relationships/hyperlink" Target="https://censusreporter.org/" TargetMode="External"/><Relationship Id="rId709" Type="http://schemas.openxmlformats.org/officeDocument/2006/relationships/hyperlink" Target="https://censusreporter.org/" TargetMode="External"/><Relationship Id="rId708" Type="http://schemas.openxmlformats.org/officeDocument/2006/relationships/hyperlink" Target="https://censusreporter.org/" TargetMode="External"/><Relationship Id="rId707" Type="http://schemas.openxmlformats.org/officeDocument/2006/relationships/hyperlink" Target="https://censusreporter.org/" TargetMode="External"/><Relationship Id="rId949" Type="http://schemas.openxmlformats.org/officeDocument/2006/relationships/hyperlink" Target="https://censusreporter.org/" TargetMode="External"/><Relationship Id="rId706" Type="http://schemas.openxmlformats.org/officeDocument/2006/relationships/hyperlink" Target="https://censusreporter.org/" TargetMode="External"/><Relationship Id="rId948" Type="http://schemas.openxmlformats.org/officeDocument/2006/relationships/hyperlink" Target="https://censusreporter.org/" TargetMode="External"/><Relationship Id="rId80" Type="http://schemas.openxmlformats.org/officeDocument/2006/relationships/hyperlink" Target="https://censusreporter.org/" TargetMode="External"/><Relationship Id="rId82" Type="http://schemas.openxmlformats.org/officeDocument/2006/relationships/hyperlink" Target="https://censusreporter.org/" TargetMode="External"/><Relationship Id="rId81" Type="http://schemas.openxmlformats.org/officeDocument/2006/relationships/hyperlink" Target="https://censusreporter.org/" TargetMode="External"/><Relationship Id="rId701" Type="http://schemas.openxmlformats.org/officeDocument/2006/relationships/hyperlink" Target="https://censusreporter.org/" TargetMode="External"/><Relationship Id="rId943" Type="http://schemas.openxmlformats.org/officeDocument/2006/relationships/hyperlink" Target="https://censusreporter.org/" TargetMode="External"/><Relationship Id="rId700" Type="http://schemas.openxmlformats.org/officeDocument/2006/relationships/hyperlink" Target="https://censusreporter.org/" TargetMode="External"/><Relationship Id="rId942" Type="http://schemas.openxmlformats.org/officeDocument/2006/relationships/hyperlink" Target="https://censusreporter.org/" TargetMode="External"/><Relationship Id="rId941" Type="http://schemas.openxmlformats.org/officeDocument/2006/relationships/hyperlink" Target="https://censusreporter.org/" TargetMode="External"/><Relationship Id="rId940" Type="http://schemas.openxmlformats.org/officeDocument/2006/relationships/hyperlink" Target="https://censusreporter.org/" TargetMode="External"/><Relationship Id="rId705" Type="http://schemas.openxmlformats.org/officeDocument/2006/relationships/hyperlink" Target="https://censusreporter.org/" TargetMode="External"/><Relationship Id="rId947" Type="http://schemas.openxmlformats.org/officeDocument/2006/relationships/hyperlink" Target="https://censusreporter.org/" TargetMode="External"/><Relationship Id="rId704" Type="http://schemas.openxmlformats.org/officeDocument/2006/relationships/hyperlink" Target="https://censusreporter.org/" TargetMode="External"/><Relationship Id="rId946" Type="http://schemas.openxmlformats.org/officeDocument/2006/relationships/hyperlink" Target="https://censusreporter.org/" TargetMode="External"/><Relationship Id="rId703" Type="http://schemas.openxmlformats.org/officeDocument/2006/relationships/hyperlink" Target="https://censusreporter.org/" TargetMode="External"/><Relationship Id="rId945" Type="http://schemas.openxmlformats.org/officeDocument/2006/relationships/hyperlink" Target="https://censusreporter.org/" TargetMode="External"/><Relationship Id="rId702" Type="http://schemas.openxmlformats.org/officeDocument/2006/relationships/hyperlink" Target="https://censusreporter.org/" TargetMode="External"/><Relationship Id="rId944" Type="http://schemas.openxmlformats.org/officeDocument/2006/relationships/hyperlink" Target="https://censusreporter.org/" TargetMode="External"/><Relationship Id="rId73" Type="http://schemas.openxmlformats.org/officeDocument/2006/relationships/hyperlink" Target="https://censusreporter.org/" TargetMode="External"/><Relationship Id="rId72" Type="http://schemas.openxmlformats.org/officeDocument/2006/relationships/hyperlink" Target="https://censusreporter.org/" TargetMode="External"/><Relationship Id="rId75" Type="http://schemas.openxmlformats.org/officeDocument/2006/relationships/hyperlink" Target="https://censusreporter.org/" TargetMode="External"/><Relationship Id="rId74" Type="http://schemas.openxmlformats.org/officeDocument/2006/relationships/hyperlink" Target="https://censusreporter.org/" TargetMode="External"/><Relationship Id="rId77" Type="http://schemas.openxmlformats.org/officeDocument/2006/relationships/hyperlink" Target="https://censusreporter.org/" TargetMode="External"/><Relationship Id="rId76" Type="http://schemas.openxmlformats.org/officeDocument/2006/relationships/hyperlink" Target="https://censusreporter.org/" TargetMode="External"/><Relationship Id="rId79" Type="http://schemas.openxmlformats.org/officeDocument/2006/relationships/hyperlink" Target="https://censusreporter.org/" TargetMode="External"/><Relationship Id="rId78" Type="http://schemas.openxmlformats.org/officeDocument/2006/relationships/hyperlink" Target="https://censusreporter.org/" TargetMode="External"/><Relationship Id="rId939" Type="http://schemas.openxmlformats.org/officeDocument/2006/relationships/hyperlink" Target="https://censusreporter.org/" TargetMode="External"/><Relationship Id="rId938" Type="http://schemas.openxmlformats.org/officeDocument/2006/relationships/hyperlink" Target="https://censusreporter.org/" TargetMode="External"/><Relationship Id="rId937" Type="http://schemas.openxmlformats.org/officeDocument/2006/relationships/hyperlink" Target="https://censusreporter.org/" TargetMode="External"/><Relationship Id="rId71" Type="http://schemas.openxmlformats.org/officeDocument/2006/relationships/hyperlink" Target="https://censusreporter.org/" TargetMode="External"/><Relationship Id="rId70" Type="http://schemas.openxmlformats.org/officeDocument/2006/relationships/hyperlink" Target="https://censusreporter.org/" TargetMode="External"/><Relationship Id="rId932" Type="http://schemas.openxmlformats.org/officeDocument/2006/relationships/hyperlink" Target="https://censusreporter.org/" TargetMode="External"/><Relationship Id="rId931" Type="http://schemas.openxmlformats.org/officeDocument/2006/relationships/hyperlink" Target="https://censusreporter.org/" TargetMode="External"/><Relationship Id="rId930" Type="http://schemas.openxmlformats.org/officeDocument/2006/relationships/hyperlink" Target="https://censusreporter.org/" TargetMode="External"/><Relationship Id="rId936" Type="http://schemas.openxmlformats.org/officeDocument/2006/relationships/hyperlink" Target="https://censusreporter.org/" TargetMode="External"/><Relationship Id="rId935" Type="http://schemas.openxmlformats.org/officeDocument/2006/relationships/hyperlink" Target="https://censusreporter.org/" TargetMode="External"/><Relationship Id="rId934" Type="http://schemas.openxmlformats.org/officeDocument/2006/relationships/hyperlink" Target="https://censusreporter.org/" TargetMode="External"/><Relationship Id="rId933" Type="http://schemas.openxmlformats.org/officeDocument/2006/relationships/hyperlink" Target="https://censusreporter.org/" TargetMode="External"/><Relationship Id="rId62" Type="http://schemas.openxmlformats.org/officeDocument/2006/relationships/hyperlink" Target="https://censusreporter.org/" TargetMode="External"/><Relationship Id="rId61" Type="http://schemas.openxmlformats.org/officeDocument/2006/relationships/hyperlink" Target="https://censusreporter.org/" TargetMode="External"/><Relationship Id="rId64" Type="http://schemas.openxmlformats.org/officeDocument/2006/relationships/hyperlink" Target="https://censusreporter.org/" TargetMode="External"/><Relationship Id="rId63" Type="http://schemas.openxmlformats.org/officeDocument/2006/relationships/hyperlink" Target="https://censusreporter.org/" TargetMode="External"/><Relationship Id="rId66" Type="http://schemas.openxmlformats.org/officeDocument/2006/relationships/hyperlink" Target="https://censusreporter.org/" TargetMode="External"/><Relationship Id="rId65" Type="http://schemas.openxmlformats.org/officeDocument/2006/relationships/hyperlink" Target="https://censusreporter.org/" TargetMode="External"/><Relationship Id="rId68" Type="http://schemas.openxmlformats.org/officeDocument/2006/relationships/hyperlink" Target="https://censusreporter.org/" TargetMode="External"/><Relationship Id="rId67" Type="http://schemas.openxmlformats.org/officeDocument/2006/relationships/hyperlink" Target="https://censusreporter.org/" TargetMode="External"/><Relationship Id="rId729" Type="http://schemas.openxmlformats.org/officeDocument/2006/relationships/hyperlink" Target="https://censusreporter.org/" TargetMode="External"/><Relationship Id="rId728" Type="http://schemas.openxmlformats.org/officeDocument/2006/relationships/hyperlink" Target="https://censusreporter.org/" TargetMode="External"/><Relationship Id="rId60" Type="http://schemas.openxmlformats.org/officeDocument/2006/relationships/hyperlink" Target="https://censusreporter.org/" TargetMode="External"/><Relationship Id="rId723" Type="http://schemas.openxmlformats.org/officeDocument/2006/relationships/hyperlink" Target="https://censusreporter.org/" TargetMode="External"/><Relationship Id="rId965" Type="http://schemas.openxmlformats.org/officeDocument/2006/relationships/hyperlink" Target="https://censusreporter.org/" TargetMode="External"/><Relationship Id="rId722" Type="http://schemas.openxmlformats.org/officeDocument/2006/relationships/hyperlink" Target="https://censusreporter.org/" TargetMode="External"/><Relationship Id="rId964" Type="http://schemas.openxmlformats.org/officeDocument/2006/relationships/hyperlink" Target="https://censusreporter.org/" TargetMode="External"/><Relationship Id="rId721" Type="http://schemas.openxmlformats.org/officeDocument/2006/relationships/hyperlink" Target="https://censusreporter.org/" TargetMode="External"/><Relationship Id="rId963" Type="http://schemas.openxmlformats.org/officeDocument/2006/relationships/hyperlink" Target="https://censusreporter.org/" TargetMode="External"/><Relationship Id="rId720" Type="http://schemas.openxmlformats.org/officeDocument/2006/relationships/hyperlink" Target="https://censusreporter.org/" TargetMode="External"/><Relationship Id="rId962" Type="http://schemas.openxmlformats.org/officeDocument/2006/relationships/hyperlink" Target="https://censusreporter.org/" TargetMode="External"/><Relationship Id="rId727" Type="http://schemas.openxmlformats.org/officeDocument/2006/relationships/hyperlink" Target="https://censusreporter.org/" TargetMode="External"/><Relationship Id="rId969" Type="http://schemas.openxmlformats.org/officeDocument/2006/relationships/hyperlink" Target="https://censusreporter.org/" TargetMode="External"/><Relationship Id="rId726" Type="http://schemas.openxmlformats.org/officeDocument/2006/relationships/hyperlink" Target="https://censusreporter.org/" TargetMode="External"/><Relationship Id="rId968" Type="http://schemas.openxmlformats.org/officeDocument/2006/relationships/hyperlink" Target="https://censusreporter.org/" TargetMode="External"/><Relationship Id="rId725" Type="http://schemas.openxmlformats.org/officeDocument/2006/relationships/hyperlink" Target="https://censusreporter.org/" TargetMode="External"/><Relationship Id="rId967" Type="http://schemas.openxmlformats.org/officeDocument/2006/relationships/hyperlink" Target="https://censusreporter.org/" TargetMode="External"/><Relationship Id="rId724" Type="http://schemas.openxmlformats.org/officeDocument/2006/relationships/hyperlink" Target="https://censusreporter.org/" TargetMode="External"/><Relationship Id="rId966" Type="http://schemas.openxmlformats.org/officeDocument/2006/relationships/hyperlink" Target="https://censusreporter.org/" TargetMode="External"/><Relationship Id="rId69" Type="http://schemas.openxmlformats.org/officeDocument/2006/relationships/hyperlink" Target="https://censusreporter.org/" TargetMode="External"/><Relationship Id="rId961" Type="http://schemas.openxmlformats.org/officeDocument/2006/relationships/hyperlink" Target="https://censusreporter.org/" TargetMode="External"/><Relationship Id="rId960" Type="http://schemas.openxmlformats.org/officeDocument/2006/relationships/hyperlink" Target="https://censusreporter.org/" TargetMode="External"/><Relationship Id="rId51" Type="http://schemas.openxmlformats.org/officeDocument/2006/relationships/hyperlink" Target="https://censusreporter.org/" TargetMode="External"/><Relationship Id="rId50" Type="http://schemas.openxmlformats.org/officeDocument/2006/relationships/hyperlink" Target="https://censusreporter.org/" TargetMode="External"/><Relationship Id="rId53" Type="http://schemas.openxmlformats.org/officeDocument/2006/relationships/hyperlink" Target="https://censusreporter.org/" TargetMode="External"/><Relationship Id="rId52" Type="http://schemas.openxmlformats.org/officeDocument/2006/relationships/hyperlink" Target="https://censusreporter.org/" TargetMode="External"/><Relationship Id="rId55" Type="http://schemas.openxmlformats.org/officeDocument/2006/relationships/hyperlink" Target="https://censusreporter.org/" TargetMode="External"/><Relationship Id="rId54" Type="http://schemas.openxmlformats.org/officeDocument/2006/relationships/hyperlink" Target="https://censusreporter.org/" TargetMode="External"/><Relationship Id="rId57" Type="http://schemas.openxmlformats.org/officeDocument/2006/relationships/hyperlink" Target="https://censusreporter.org/" TargetMode="External"/><Relationship Id="rId56" Type="http://schemas.openxmlformats.org/officeDocument/2006/relationships/hyperlink" Target="https://censusreporter.org/" TargetMode="External"/><Relationship Id="rId719" Type="http://schemas.openxmlformats.org/officeDocument/2006/relationships/hyperlink" Target="https://censusreporter.org/" TargetMode="External"/><Relationship Id="rId718" Type="http://schemas.openxmlformats.org/officeDocument/2006/relationships/hyperlink" Target="https://censusreporter.org/" TargetMode="External"/><Relationship Id="rId717" Type="http://schemas.openxmlformats.org/officeDocument/2006/relationships/hyperlink" Target="https://censusreporter.org/" TargetMode="External"/><Relationship Id="rId959" Type="http://schemas.openxmlformats.org/officeDocument/2006/relationships/hyperlink" Target="https://censusreporter.org/" TargetMode="External"/><Relationship Id="rId712" Type="http://schemas.openxmlformats.org/officeDocument/2006/relationships/hyperlink" Target="https://censusreporter.org/" TargetMode="External"/><Relationship Id="rId954" Type="http://schemas.openxmlformats.org/officeDocument/2006/relationships/hyperlink" Target="https://censusreporter.org/" TargetMode="External"/><Relationship Id="rId711" Type="http://schemas.openxmlformats.org/officeDocument/2006/relationships/hyperlink" Target="https://censusreporter.org/" TargetMode="External"/><Relationship Id="rId953" Type="http://schemas.openxmlformats.org/officeDocument/2006/relationships/hyperlink" Target="https://censusreporter.org/" TargetMode="External"/><Relationship Id="rId710" Type="http://schemas.openxmlformats.org/officeDocument/2006/relationships/hyperlink" Target="https://censusreporter.org/" TargetMode="External"/><Relationship Id="rId952" Type="http://schemas.openxmlformats.org/officeDocument/2006/relationships/hyperlink" Target="https://censusreporter.org/" TargetMode="External"/><Relationship Id="rId951" Type="http://schemas.openxmlformats.org/officeDocument/2006/relationships/hyperlink" Target="https://censusreporter.org/" TargetMode="External"/><Relationship Id="rId716" Type="http://schemas.openxmlformats.org/officeDocument/2006/relationships/hyperlink" Target="https://censusreporter.org/" TargetMode="External"/><Relationship Id="rId958" Type="http://schemas.openxmlformats.org/officeDocument/2006/relationships/hyperlink" Target="https://censusreporter.org/" TargetMode="External"/><Relationship Id="rId715" Type="http://schemas.openxmlformats.org/officeDocument/2006/relationships/hyperlink" Target="https://censusreporter.org/" TargetMode="External"/><Relationship Id="rId957" Type="http://schemas.openxmlformats.org/officeDocument/2006/relationships/hyperlink" Target="https://censusreporter.org/" TargetMode="External"/><Relationship Id="rId714" Type="http://schemas.openxmlformats.org/officeDocument/2006/relationships/hyperlink" Target="https://censusreporter.org/" TargetMode="External"/><Relationship Id="rId956" Type="http://schemas.openxmlformats.org/officeDocument/2006/relationships/hyperlink" Target="https://censusreporter.org/" TargetMode="External"/><Relationship Id="rId713" Type="http://schemas.openxmlformats.org/officeDocument/2006/relationships/hyperlink" Target="https://censusreporter.org/" TargetMode="External"/><Relationship Id="rId955" Type="http://schemas.openxmlformats.org/officeDocument/2006/relationships/hyperlink" Target="https://censusreporter.org/" TargetMode="External"/><Relationship Id="rId59" Type="http://schemas.openxmlformats.org/officeDocument/2006/relationships/hyperlink" Target="https://censusreporter.org/" TargetMode="External"/><Relationship Id="rId58" Type="http://schemas.openxmlformats.org/officeDocument/2006/relationships/hyperlink" Target="https://censusreporter.org/" TargetMode="External"/><Relationship Id="rId950" Type="http://schemas.openxmlformats.org/officeDocument/2006/relationships/hyperlink" Target="https://censusreporter.org/" TargetMode="External"/><Relationship Id="rId590" Type="http://schemas.openxmlformats.org/officeDocument/2006/relationships/hyperlink" Target="https://censusreporter.org/" TargetMode="External"/><Relationship Id="rId107" Type="http://schemas.openxmlformats.org/officeDocument/2006/relationships/hyperlink" Target="https://censusreporter.org/" TargetMode="External"/><Relationship Id="rId349" Type="http://schemas.openxmlformats.org/officeDocument/2006/relationships/hyperlink" Target="https://censusreporter.org/" TargetMode="External"/><Relationship Id="rId106" Type="http://schemas.openxmlformats.org/officeDocument/2006/relationships/hyperlink" Target="https://censusreporter.org/" TargetMode="External"/><Relationship Id="rId348" Type="http://schemas.openxmlformats.org/officeDocument/2006/relationships/hyperlink" Target="https://censusreporter.org/" TargetMode="External"/><Relationship Id="rId105" Type="http://schemas.openxmlformats.org/officeDocument/2006/relationships/hyperlink" Target="https://censusreporter.org/" TargetMode="External"/><Relationship Id="rId347" Type="http://schemas.openxmlformats.org/officeDocument/2006/relationships/hyperlink" Target="https://censusreporter.org/" TargetMode="External"/><Relationship Id="rId589" Type="http://schemas.openxmlformats.org/officeDocument/2006/relationships/hyperlink" Target="https://censusreporter.org/" TargetMode="External"/><Relationship Id="rId104" Type="http://schemas.openxmlformats.org/officeDocument/2006/relationships/hyperlink" Target="https://censusreporter.org/" TargetMode="External"/><Relationship Id="rId346" Type="http://schemas.openxmlformats.org/officeDocument/2006/relationships/hyperlink" Target="https://censusreporter.org/" TargetMode="External"/><Relationship Id="rId588" Type="http://schemas.openxmlformats.org/officeDocument/2006/relationships/hyperlink" Target="https://censusreporter.org/" TargetMode="External"/><Relationship Id="rId109" Type="http://schemas.openxmlformats.org/officeDocument/2006/relationships/hyperlink" Target="https://censusreporter.org/" TargetMode="External"/><Relationship Id="rId108" Type="http://schemas.openxmlformats.org/officeDocument/2006/relationships/hyperlink" Target="https://censusreporter.org/" TargetMode="External"/><Relationship Id="rId341" Type="http://schemas.openxmlformats.org/officeDocument/2006/relationships/hyperlink" Target="https://censusreporter.org/" TargetMode="External"/><Relationship Id="rId583" Type="http://schemas.openxmlformats.org/officeDocument/2006/relationships/hyperlink" Target="https://censusreporter.org/" TargetMode="External"/><Relationship Id="rId340" Type="http://schemas.openxmlformats.org/officeDocument/2006/relationships/hyperlink" Target="https://censusreporter.org/" TargetMode="External"/><Relationship Id="rId582" Type="http://schemas.openxmlformats.org/officeDocument/2006/relationships/hyperlink" Target="https://censusreporter.org/" TargetMode="External"/><Relationship Id="rId581" Type="http://schemas.openxmlformats.org/officeDocument/2006/relationships/hyperlink" Target="https://censusreporter.org/" TargetMode="External"/><Relationship Id="rId580" Type="http://schemas.openxmlformats.org/officeDocument/2006/relationships/hyperlink" Target="https://censusreporter.org/" TargetMode="External"/><Relationship Id="rId103" Type="http://schemas.openxmlformats.org/officeDocument/2006/relationships/hyperlink" Target="https://censusreporter.org/" TargetMode="External"/><Relationship Id="rId345" Type="http://schemas.openxmlformats.org/officeDocument/2006/relationships/hyperlink" Target="https://censusreporter.org/" TargetMode="External"/><Relationship Id="rId587" Type="http://schemas.openxmlformats.org/officeDocument/2006/relationships/hyperlink" Target="https://censusreporter.org/" TargetMode="External"/><Relationship Id="rId102" Type="http://schemas.openxmlformats.org/officeDocument/2006/relationships/hyperlink" Target="https://censusreporter.org/" TargetMode="External"/><Relationship Id="rId344" Type="http://schemas.openxmlformats.org/officeDocument/2006/relationships/hyperlink" Target="https://censusreporter.org/" TargetMode="External"/><Relationship Id="rId586" Type="http://schemas.openxmlformats.org/officeDocument/2006/relationships/hyperlink" Target="https://censusreporter.org/" TargetMode="External"/><Relationship Id="rId101" Type="http://schemas.openxmlformats.org/officeDocument/2006/relationships/hyperlink" Target="https://censusreporter.org/" TargetMode="External"/><Relationship Id="rId343" Type="http://schemas.openxmlformats.org/officeDocument/2006/relationships/hyperlink" Target="https://censusreporter.org/" TargetMode="External"/><Relationship Id="rId585" Type="http://schemas.openxmlformats.org/officeDocument/2006/relationships/hyperlink" Target="https://censusreporter.org/" TargetMode="External"/><Relationship Id="rId100" Type="http://schemas.openxmlformats.org/officeDocument/2006/relationships/hyperlink" Target="https://censusreporter.org/" TargetMode="External"/><Relationship Id="rId342" Type="http://schemas.openxmlformats.org/officeDocument/2006/relationships/hyperlink" Target="https://censusreporter.org/" TargetMode="External"/><Relationship Id="rId584" Type="http://schemas.openxmlformats.org/officeDocument/2006/relationships/hyperlink" Target="https://censusreporter.org/" TargetMode="External"/><Relationship Id="rId338" Type="http://schemas.openxmlformats.org/officeDocument/2006/relationships/hyperlink" Target="https://censusreporter.org/" TargetMode="External"/><Relationship Id="rId337" Type="http://schemas.openxmlformats.org/officeDocument/2006/relationships/hyperlink" Target="https://censusreporter.org/" TargetMode="External"/><Relationship Id="rId579" Type="http://schemas.openxmlformats.org/officeDocument/2006/relationships/hyperlink" Target="https://censusreporter.org/" TargetMode="External"/><Relationship Id="rId336" Type="http://schemas.openxmlformats.org/officeDocument/2006/relationships/hyperlink" Target="https://censusreporter.org/" TargetMode="External"/><Relationship Id="rId578" Type="http://schemas.openxmlformats.org/officeDocument/2006/relationships/hyperlink" Target="https://censusreporter.org/" TargetMode="External"/><Relationship Id="rId335" Type="http://schemas.openxmlformats.org/officeDocument/2006/relationships/hyperlink" Target="https://censusreporter.org/" TargetMode="External"/><Relationship Id="rId577" Type="http://schemas.openxmlformats.org/officeDocument/2006/relationships/hyperlink" Target="https://censusreporter.org/" TargetMode="External"/><Relationship Id="rId339" Type="http://schemas.openxmlformats.org/officeDocument/2006/relationships/hyperlink" Target="https://censusreporter.org/" TargetMode="External"/><Relationship Id="rId330" Type="http://schemas.openxmlformats.org/officeDocument/2006/relationships/hyperlink" Target="https://censusreporter.org/" TargetMode="External"/><Relationship Id="rId572" Type="http://schemas.openxmlformats.org/officeDocument/2006/relationships/hyperlink" Target="https://censusreporter.org/" TargetMode="External"/><Relationship Id="rId571" Type="http://schemas.openxmlformats.org/officeDocument/2006/relationships/hyperlink" Target="https://censusreporter.org/" TargetMode="External"/><Relationship Id="rId570" Type="http://schemas.openxmlformats.org/officeDocument/2006/relationships/hyperlink" Target="https://censusreporter.org/" TargetMode="External"/><Relationship Id="rId334" Type="http://schemas.openxmlformats.org/officeDocument/2006/relationships/hyperlink" Target="https://censusreporter.org/" TargetMode="External"/><Relationship Id="rId576" Type="http://schemas.openxmlformats.org/officeDocument/2006/relationships/hyperlink" Target="https://censusreporter.org/" TargetMode="External"/><Relationship Id="rId333" Type="http://schemas.openxmlformats.org/officeDocument/2006/relationships/hyperlink" Target="https://censusreporter.org/" TargetMode="External"/><Relationship Id="rId575" Type="http://schemas.openxmlformats.org/officeDocument/2006/relationships/hyperlink" Target="https://censusreporter.org/" TargetMode="External"/><Relationship Id="rId332" Type="http://schemas.openxmlformats.org/officeDocument/2006/relationships/hyperlink" Target="https://censusreporter.org/" TargetMode="External"/><Relationship Id="rId574" Type="http://schemas.openxmlformats.org/officeDocument/2006/relationships/hyperlink" Target="https://censusreporter.org/" TargetMode="External"/><Relationship Id="rId331" Type="http://schemas.openxmlformats.org/officeDocument/2006/relationships/hyperlink" Target="https://censusreporter.org/" TargetMode="External"/><Relationship Id="rId573" Type="http://schemas.openxmlformats.org/officeDocument/2006/relationships/hyperlink" Target="https://censusreporter.org/" TargetMode="External"/><Relationship Id="rId370" Type="http://schemas.openxmlformats.org/officeDocument/2006/relationships/hyperlink" Target="https://censusreporter.org/" TargetMode="External"/><Relationship Id="rId129" Type="http://schemas.openxmlformats.org/officeDocument/2006/relationships/hyperlink" Target="https://censusreporter.org/" TargetMode="External"/><Relationship Id="rId128" Type="http://schemas.openxmlformats.org/officeDocument/2006/relationships/hyperlink" Target="https://censusreporter.org/" TargetMode="External"/><Relationship Id="rId127" Type="http://schemas.openxmlformats.org/officeDocument/2006/relationships/hyperlink" Target="https://censusreporter.org/" TargetMode="External"/><Relationship Id="rId369" Type="http://schemas.openxmlformats.org/officeDocument/2006/relationships/hyperlink" Target="https://censusreporter.org/" TargetMode="External"/><Relationship Id="rId126" Type="http://schemas.openxmlformats.org/officeDocument/2006/relationships/hyperlink" Target="https://censusreporter.org/" TargetMode="External"/><Relationship Id="rId368" Type="http://schemas.openxmlformats.org/officeDocument/2006/relationships/hyperlink" Target="https://censusreporter.org/" TargetMode="External"/><Relationship Id="rId121" Type="http://schemas.openxmlformats.org/officeDocument/2006/relationships/hyperlink" Target="https://censusreporter.org/" TargetMode="External"/><Relationship Id="rId363" Type="http://schemas.openxmlformats.org/officeDocument/2006/relationships/hyperlink" Target="https://censusreporter.org/" TargetMode="External"/><Relationship Id="rId120" Type="http://schemas.openxmlformats.org/officeDocument/2006/relationships/hyperlink" Target="https://censusreporter.org/" TargetMode="External"/><Relationship Id="rId362" Type="http://schemas.openxmlformats.org/officeDocument/2006/relationships/hyperlink" Target="https://censusreporter.org/" TargetMode="External"/><Relationship Id="rId361" Type="http://schemas.openxmlformats.org/officeDocument/2006/relationships/hyperlink" Target="https://censusreporter.org/" TargetMode="External"/><Relationship Id="rId360" Type="http://schemas.openxmlformats.org/officeDocument/2006/relationships/hyperlink" Target="https://censusreporter.org/" TargetMode="External"/><Relationship Id="rId125" Type="http://schemas.openxmlformats.org/officeDocument/2006/relationships/hyperlink" Target="https://censusreporter.org/" TargetMode="External"/><Relationship Id="rId367" Type="http://schemas.openxmlformats.org/officeDocument/2006/relationships/hyperlink" Target="https://censusreporter.org/" TargetMode="External"/><Relationship Id="rId124" Type="http://schemas.openxmlformats.org/officeDocument/2006/relationships/hyperlink" Target="https://censusreporter.org/" TargetMode="External"/><Relationship Id="rId366" Type="http://schemas.openxmlformats.org/officeDocument/2006/relationships/hyperlink" Target="https://censusreporter.org/" TargetMode="External"/><Relationship Id="rId123" Type="http://schemas.openxmlformats.org/officeDocument/2006/relationships/hyperlink" Target="https://censusreporter.org/" TargetMode="External"/><Relationship Id="rId365" Type="http://schemas.openxmlformats.org/officeDocument/2006/relationships/hyperlink" Target="https://censusreporter.org/" TargetMode="External"/><Relationship Id="rId122" Type="http://schemas.openxmlformats.org/officeDocument/2006/relationships/hyperlink" Target="https://censusreporter.org/" TargetMode="External"/><Relationship Id="rId364" Type="http://schemas.openxmlformats.org/officeDocument/2006/relationships/hyperlink" Target="https://censusreporter.org/" TargetMode="External"/><Relationship Id="rId95" Type="http://schemas.openxmlformats.org/officeDocument/2006/relationships/hyperlink" Target="https://censusreporter.org/" TargetMode="External"/><Relationship Id="rId94" Type="http://schemas.openxmlformats.org/officeDocument/2006/relationships/hyperlink" Target="https://censusreporter.org/" TargetMode="External"/><Relationship Id="rId97" Type="http://schemas.openxmlformats.org/officeDocument/2006/relationships/hyperlink" Target="https://censusreporter.org/" TargetMode="External"/><Relationship Id="rId96" Type="http://schemas.openxmlformats.org/officeDocument/2006/relationships/hyperlink" Target="https://censusreporter.org/" TargetMode="External"/><Relationship Id="rId99" Type="http://schemas.openxmlformats.org/officeDocument/2006/relationships/hyperlink" Target="https://censusreporter.org/" TargetMode="External"/><Relationship Id="rId98" Type="http://schemas.openxmlformats.org/officeDocument/2006/relationships/hyperlink" Target="https://censusreporter.org/" TargetMode="External"/><Relationship Id="rId91" Type="http://schemas.openxmlformats.org/officeDocument/2006/relationships/hyperlink" Target="https://censusreporter.org/" TargetMode="External"/><Relationship Id="rId90" Type="http://schemas.openxmlformats.org/officeDocument/2006/relationships/hyperlink" Target="https://censusreporter.org/" TargetMode="External"/><Relationship Id="rId93" Type="http://schemas.openxmlformats.org/officeDocument/2006/relationships/hyperlink" Target="https://censusreporter.org/" TargetMode="External"/><Relationship Id="rId92" Type="http://schemas.openxmlformats.org/officeDocument/2006/relationships/hyperlink" Target="https://censusreporter.org/" TargetMode="External"/><Relationship Id="rId118" Type="http://schemas.openxmlformats.org/officeDocument/2006/relationships/hyperlink" Target="https://censusreporter.org/" TargetMode="External"/><Relationship Id="rId117" Type="http://schemas.openxmlformats.org/officeDocument/2006/relationships/hyperlink" Target="https://censusreporter.org/" TargetMode="External"/><Relationship Id="rId359" Type="http://schemas.openxmlformats.org/officeDocument/2006/relationships/hyperlink" Target="https://censusreporter.org/" TargetMode="External"/><Relationship Id="rId116" Type="http://schemas.openxmlformats.org/officeDocument/2006/relationships/hyperlink" Target="https://censusreporter.org/" TargetMode="External"/><Relationship Id="rId358" Type="http://schemas.openxmlformats.org/officeDocument/2006/relationships/hyperlink" Target="https://censusreporter.org/" TargetMode="External"/><Relationship Id="rId115" Type="http://schemas.openxmlformats.org/officeDocument/2006/relationships/hyperlink" Target="https://censusreporter.org/" TargetMode="External"/><Relationship Id="rId357" Type="http://schemas.openxmlformats.org/officeDocument/2006/relationships/hyperlink" Target="https://censusreporter.org/" TargetMode="External"/><Relationship Id="rId599" Type="http://schemas.openxmlformats.org/officeDocument/2006/relationships/hyperlink" Target="https://censusreporter.org/" TargetMode="External"/><Relationship Id="rId119" Type="http://schemas.openxmlformats.org/officeDocument/2006/relationships/hyperlink" Target="https://censusreporter.org/" TargetMode="External"/><Relationship Id="rId110" Type="http://schemas.openxmlformats.org/officeDocument/2006/relationships/hyperlink" Target="https://censusreporter.org/" TargetMode="External"/><Relationship Id="rId352" Type="http://schemas.openxmlformats.org/officeDocument/2006/relationships/hyperlink" Target="https://censusreporter.org/" TargetMode="External"/><Relationship Id="rId594" Type="http://schemas.openxmlformats.org/officeDocument/2006/relationships/hyperlink" Target="https://censusreporter.org/" TargetMode="External"/><Relationship Id="rId351" Type="http://schemas.openxmlformats.org/officeDocument/2006/relationships/hyperlink" Target="https://censusreporter.org/" TargetMode="External"/><Relationship Id="rId593" Type="http://schemas.openxmlformats.org/officeDocument/2006/relationships/hyperlink" Target="https://censusreporter.org/" TargetMode="External"/><Relationship Id="rId350" Type="http://schemas.openxmlformats.org/officeDocument/2006/relationships/hyperlink" Target="https://censusreporter.org/" TargetMode="External"/><Relationship Id="rId592" Type="http://schemas.openxmlformats.org/officeDocument/2006/relationships/hyperlink" Target="https://censusreporter.org/" TargetMode="External"/><Relationship Id="rId591" Type="http://schemas.openxmlformats.org/officeDocument/2006/relationships/hyperlink" Target="https://censusreporter.org/" TargetMode="External"/><Relationship Id="rId114" Type="http://schemas.openxmlformats.org/officeDocument/2006/relationships/hyperlink" Target="https://censusreporter.org/" TargetMode="External"/><Relationship Id="rId356" Type="http://schemas.openxmlformats.org/officeDocument/2006/relationships/hyperlink" Target="https://censusreporter.org/" TargetMode="External"/><Relationship Id="rId598" Type="http://schemas.openxmlformats.org/officeDocument/2006/relationships/hyperlink" Target="https://censusreporter.org/" TargetMode="External"/><Relationship Id="rId113" Type="http://schemas.openxmlformats.org/officeDocument/2006/relationships/hyperlink" Target="https://censusreporter.org/" TargetMode="External"/><Relationship Id="rId355" Type="http://schemas.openxmlformats.org/officeDocument/2006/relationships/hyperlink" Target="https://censusreporter.org/" TargetMode="External"/><Relationship Id="rId597" Type="http://schemas.openxmlformats.org/officeDocument/2006/relationships/hyperlink" Target="https://censusreporter.org/" TargetMode="External"/><Relationship Id="rId112" Type="http://schemas.openxmlformats.org/officeDocument/2006/relationships/hyperlink" Target="https://censusreporter.org/" TargetMode="External"/><Relationship Id="rId354" Type="http://schemas.openxmlformats.org/officeDocument/2006/relationships/hyperlink" Target="https://censusreporter.org/" TargetMode="External"/><Relationship Id="rId596" Type="http://schemas.openxmlformats.org/officeDocument/2006/relationships/hyperlink" Target="https://censusreporter.org/" TargetMode="External"/><Relationship Id="rId111" Type="http://schemas.openxmlformats.org/officeDocument/2006/relationships/hyperlink" Target="https://censusreporter.org/" TargetMode="External"/><Relationship Id="rId353" Type="http://schemas.openxmlformats.org/officeDocument/2006/relationships/hyperlink" Target="https://censusreporter.org/" TargetMode="External"/><Relationship Id="rId595" Type="http://schemas.openxmlformats.org/officeDocument/2006/relationships/hyperlink" Target="https://censusreporter.org/" TargetMode="External"/><Relationship Id="rId305" Type="http://schemas.openxmlformats.org/officeDocument/2006/relationships/hyperlink" Target="https://censusreporter.org/" TargetMode="External"/><Relationship Id="rId547" Type="http://schemas.openxmlformats.org/officeDocument/2006/relationships/hyperlink" Target="https://censusreporter.org/" TargetMode="External"/><Relationship Id="rId789" Type="http://schemas.openxmlformats.org/officeDocument/2006/relationships/hyperlink" Target="https://censusreporter.org/" TargetMode="External"/><Relationship Id="rId304" Type="http://schemas.openxmlformats.org/officeDocument/2006/relationships/hyperlink" Target="https://censusreporter.org/" TargetMode="External"/><Relationship Id="rId546" Type="http://schemas.openxmlformats.org/officeDocument/2006/relationships/hyperlink" Target="https://censusreporter.org/" TargetMode="External"/><Relationship Id="rId788" Type="http://schemas.openxmlformats.org/officeDocument/2006/relationships/hyperlink" Target="https://censusreporter.org/" TargetMode="External"/><Relationship Id="rId303" Type="http://schemas.openxmlformats.org/officeDocument/2006/relationships/hyperlink" Target="https://censusreporter.org/" TargetMode="External"/><Relationship Id="rId545" Type="http://schemas.openxmlformats.org/officeDocument/2006/relationships/hyperlink" Target="https://censusreporter.org/" TargetMode="External"/><Relationship Id="rId787" Type="http://schemas.openxmlformats.org/officeDocument/2006/relationships/hyperlink" Target="https://censusreporter.org/" TargetMode="External"/><Relationship Id="rId302" Type="http://schemas.openxmlformats.org/officeDocument/2006/relationships/hyperlink" Target="https://censusreporter.org/" TargetMode="External"/><Relationship Id="rId544" Type="http://schemas.openxmlformats.org/officeDocument/2006/relationships/hyperlink" Target="https://censusreporter.org/" TargetMode="External"/><Relationship Id="rId786" Type="http://schemas.openxmlformats.org/officeDocument/2006/relationships/hyperlink" Target="https://censusreporter.org/" TargetMode="External"/><Relationship Id="rId309" Type="http://schemas.openxmlformats.org/officeDocument/2006/relationships/hyperlink" Target="https://censusreporter.org/" TargetMode="External"/><Relationship Id="rId308" Type="http://schemas.openxmlformats.org/officeDocument/2006/relationships/hyperlink" Target="https://censusreporter.org/" TargetMode="External"/><Relationship Id="rId307" Type="http://schemas.openxmlformats.org/officeDocument/2006/relationships/hyperlink" Target="https://censusreporter.org/" TargetMode="External"/><Relationship Id="rId549" Type="http://schemas.openxmlformats.org/officeDocument/2006/relationships/hyperlink" Target="https://censusreporter.org/" TargetMode="External"/><Relationship Id="rId306" Type="http://schemas.openxmlformats.org/officeDocument/2006/relationships/hyperlink" Target="https://censusreporter.org/" TargetMode="External"/><Relationship Id="rId548" Type="http://schemas.openxmlformats.org/officeDocument/2006/relationships/hyperlink" Target="https://censusreporter.org/" TargetMode="External"/><Relationship Id="rId781" Type="http://schemas.openxmlformats.org/officeDocument/2006/relationships/hyperlink" Target="https://censusreporter.org/" TargetMode="External"/><Relationship Id="rId780" Type="http://schemas.openxmlformats.org/officeDocument/2006/relationships/hyperlink" Target="https://censusreporter.org/" TargetMode="External"/><Relationship Id="rId1130" Type="http://schemas.openxmlformats.org/officeDocument/2006/relationships/hyperlink" Target="https://censusreporter.org/" TargetMode="External"/><Relationship Id="rId1131" Type="http://schemas.openxmlformats.org/officeDocument/2006/relationships/hyperlink" Target="https://censusreporter.org/" TargetMode="External"/><Relationship Id="rId301" Type="http://schemas.openxmlformats.org/officeDocument/2006/relationships/hyperlink" Target="https://censusreporter.org/" TargetMode="External"/><Relationship Id="rId543" Type="http://schemas.openxmlformats.org/officeDocument/2006/relationships/hyperlink" Target="https://censusreporter.org/" TargetMode="External"/><Relationship Id="rId785" Type="http://schemas.openxmlformats.org/officeDocument/2006/relationships/hyperlink" Target="https://censusreporter.org/" TargetMode="External"/><Relationship Id="rId1132" Type="http://schemas.openxmlformats.org/officeDocument/2006/relationships/hyperlink" Target="https://censusreporter.org/" TargetMode="External"/><Relationship Id="rId300" Type="http://schemas.openxmlformats.org/officeDocument/2006/relationships/hyperlink" Target="https://censusreporter.org/" TargetMode="External"/><Relationship Id="rId542" Type="http://schemas.openxmlformats.org/officeDocument/2006/relationships/hyperlink" Target="https://censusreporter.org/" TargetMode="External"/><Relationship Id="rId784" Type="http://schemas.openxmlformats.org/officeDocument/2006/relationships/hyperlink" Target="https://censusreporter.org/" TargetMode="External"/><Relationship Id="rId1133" Type="http://schemas.openxmlformats.org/officeDocument/2006/relationships/hyperlink" Target="https://censusreporter.org/" TargetMode="External"/><Relationship Id="rId541" Type="http://schemas.openxmlformats.org/officeDocument/2006/relationships/hyperlink" Target="https://censusreporter.org/" TargetMode="External"/><Relationship Id="rId783" Type="http://schemas.openxmlformats.org/officeDocument/2006/relationships/hyperlink" Target="https://censusreporter.org/" TargetMode="External"/><Relationship Id="rId1134" Type="http://schemas.openxmlformats.org/officeDocument/2006/relationships/hyperlink" Target="https://censusreporter.org/" TargetMode="External"/><Relationship Id="rId540" Type="http://schemas.openxmlformats.org/officeDocument/2006/relationships/hyperlink" Target="https://censusreporter.org/" TargetMode="External"/><Relationship Id="rId782" Type="http://schemas.openxmlformats.org/officeDocument/2006/relationships/hyperlink" Target="https://censusreporter.org/" TargetMode="External"/><Relationship Id="rId1135" Type="http://schemas.openxmlformats.org/officeDocument/2006/relationships/drawing" Target="../drawings/drawing1.xml"/><Relationship Id="rId1125" Type="http://schemas.openxmlformats.org/officeDocument/2006/relationships/hyperlink" Target="https://censusreporter.org/" TargetMode="External"/><Relationship Id="rId1126" Type="http://schemas.openxmlformats.org/officeDocument/2006/relationships/hyperlink" Target="https://censusreporter.org/" TargetMode="External"/><Relationship Id="rId1127" Type="http://schemas.openxmlformats.org/officeDocument/2006/relationships/hyperlink" Target="https://censusreporter.org/" TargetMode="External"/><Relationship Id="rId1128" Type="http://schemas.openxmlformats.org/officeDocument/2006/relationships/hyperlink" Target="https://censusreporter.org/" TargetMode="External"/><Relationship Id="rId1129" Type="http://schemas.openxmlformats.org/officeDocument/2006/relationships/hyperlink" Target="https://censusreporter.org/" TargetMode="External"/><Relationship Id="rId536" Type="http://schemas.openxmlformats.org/officeDocument/2006/relationships/hyperlink" Target="https://censusreporter.org/" TargetMode="External"/><Relationship Id="rId778" Type="http://schemas.openxmlformats.org/officeDocument/2006/relationships/hyperlink" Target="https://censusreporter.org/" TargetMode="External"/><Relationship Id="rId535" Type="http://schemas.openxmlformats.org/officeDocument/2006/relationships/hyperlink" Target="https://censusreporter.org/" TargetMode="External"/><Relationship Id="rId777" Type="http://schemas.openxmlformats.org/officeDocument/2006/relationships/hyperlink" Target="https://censusreporter.org/" TargetMode="External"/><Relationship Id="rId534" Type="http://schemas.openxmlformats.org/officeDocument/2006/relationships/hyperlink" Target="https://censusreporter.org/" TargetMode="External"/><Relationship Id="rId776" Type="http://schemas.openxmlformats.org/officeDocument/2006/relationships/hyperlink" Target="https://censusreporter.org/" TargetMode="External"/><Relationship Id="rId533" Type="http://schemas.openxmlformats.org/officeDocument/2006/relationships/hyperlink" Target="https://censusreporter.org/" TargetMode="External"/><Relationship Id="rId775" Type="http://schemas.openxmlformats.org/officeDocument/2006/relationships/hyperlink" Target="https://censusreporter.org/" TargetMode="External"/><Relationship Id="rId539" Type="http://schemas.openxmlformats.org/officeDocument/2006/relationships/hyperlink" Target="https://censusreporter.org/" TargetMode="External"/><Relationship Id="rId538" Type="http://schemas.openxmlformats.org/officeDocument/2006/relationships/hyperlink" Target="https://censusreporter.org/" TargetMode="External"/><Relationship Id="rId537" Type="http://schemas.openxmlformats.org/officeDocument/2006/relationships/hyperlink" Target="https://censusreporter.org/" TargetMode="External"/><Relationship Id="rId779" Type="http://schemas.openxmlformats.org/officeDocument/2006/relationships/hyperlink" Target="https://censusreporter.org/" TargetMode="External"/><Relationship Id="rId770" Type="http://schemas.openxmlformats.org/officeDocument/2006/relationships/hyperlink" Target="https://censusreporter.org/" TargetMode="External"/><Relationship Id="rId1120" Type="http://schemas.openxmlformats.org/officeDocument/2006/relationships/hyperlink" Target="https://censusreporter.org/" TargetMode="External"/><Relationship Id="rId532" Type="http://schemas.openxmlformats.org/officeDocument/2006/relationships/hyperlink" Target="https://censusreporter.org/" TargetMode="External"/><Relationship Id="rId774" Type="http://schemas.openxmlformats.org/officeDocument/2006/relationships/hyperlink" Target="https://censusreporter.org/" TargetMode="External"/><Relationship Id="rId1121" Type="http://schemas.openxmlformats.org/officeDocument/2006/relationships/hyperlink" Target="https://censusreporter.org/" TargetMode="External"/><Relationship Id="rId531" Type="http://schemas.openxmlformats.org/officeDocument/2006/relationships/hyperlink" Target="https://censusreporter.org/" TargetMode="External"/><Relationship Id="rId773" Type="http://schemas.openxmlformats.org/officeDocument/2006/relationships/hyperlink" Target="https://censusreporter.org/" TargetMode="External"/><Relationship Id="rId1122" Type="http://schemas.openxmlformats.org/officeDocument/2006/relationships/hyperlink" Target="https://censusreporter.org/" TargetMode="External"/><Relationship Id="rId530" Type="http://schemas.openxmlformats.org/officeDocument/2006/relationships/hyperlink" Target="https://censusreporter.org/" TargetMode="External"/><Relationship Id="rId772" Type="http://schemas.openxmlformats.org/officeDocument/2006/relationships/hyperlink" Target="https://censusreporter.org/" TargetMode="External"/><Relationship Id="rId1123" Type="http://schemas.openxmlformats.org/officeDocument/2006/relationships/hyperlink" Target="https://censusreporter.org/" TargetMode="External"/><Relationship Id="rId771" Type="http://schemas.openxmlformats.org/officeDocument/2006/relationships/hyperlink" Target="https://censusreporter.org/" TargetMode="External"/><Relationship Id="rId1124" Type="http://schemas.openxmlformats.org/officeDocument/2006/relationships/hyperlink" Target="https://censusreporter.org/" TargetMode="External"/><Relationship Id="rId327" Type="http://schemas.openxmlformats.org/officeDocument/2006/relationships/hyperlink" Target="https://censusreporter.org/" TargetMode="External"/><Relationship Id="rId569" Type="http://schemas.openxmlformats.org/officeDocument/2006/relationships/hyperlink" Target="https://censusreporter.org/" TargetMode="External"/><Relationship Id="rId326" Type="http://schemas.openxmlformats.org/officeDocument/2006/relationships/hyperlink" Target="https://censusreporter.org/" TargetMode="External"/><Relationship Id="rId568" Type="http://schemas.openxmlformats.org/officeDocument/2006/relationships/hyperlink" Target="https://censusreporter.org/" TargetMode="External"/><Relationship Id="rId325" Type="http://schemas.openxmlformats.org/officeDocument/2006/relationships/hyperlink" Target="https://censusreporter.org/" TargetMode="External"/><Relationship Id="rId567" Type="http://schemas.openxmlformats.org/officeDocument/2006/relationships/hyperlink" Target="https://censusreporter.org/" TargetMode="External"/><Relationship Id="rId324" Type="http://schemas.openxmlformats.org/officeDocument/2006/relationships/hyperlink" Target="https://censusreporter.org/" TargetMode="External"/><Relationship Id="rId566" Type="http://schemas.openxmlformats.org/officeDocument/2006/relationships/hyperlink" Target="https://censusreporter.org/" TargetMode="External"/><Relationship Id="rId329" Type="http://schemas.openxmlformats.org/officeDocument/2006/relationships/hyperlink" Target="https://censusreporter.org/" TargetMode="External"/><Relationship Id="rId328" Type="http://schemas.openxmlformats.org/officeDocument/2006/relationships/hyperlink" Target="https://censusreporter.org/" TargetMode="External"/><Relationship Id="rId561" Type="http://schemas.openxmlformats.org/officeDocument/2006/relationships/hyperlink" Target="https://censusreporter.org/" TargetMode="External"/><Relationship Id="rId560" Type="http://schemas.openxmlformats.org/officeDocument/2006/relationships/hyperlink" Target="https://censusreporter.org/" TargetMode="External"/><Relationship Id="rId323" Type="http://schemas.openxmlformats.org/officeDocument/2006/relationships/hyperlink" Target="https://censusreporter.org/" TargetMode="External"/><Relationship Id="rId565" Type="http://schemas.openxmlformats.org/officeDocument/2006/relationships/hyperlink" Target="https://censusreporter.org/" TargetMode="External"/><Relationship Id="rId322" Type="http://schemas.openxmlformats.org/officeDocument/2006/relationships/hyperlink" Target="https://censusreporter.org/" TargetMode="External"/><Relationship Id="rId564" Type="http://schemas.openxmlformats.org/officeDocument/2006/relationships/hyperlink" Target="https://censusreporter.org/" TargetMode="External"/><Relationship Id="rId321" Type="http://schemas.openxmlformats.org/officeDocument/2006/relationships/hyperlink" Target="https://censusreporter.org/" TargetMode="External"/><Relationship Id="rId563" Type="http://schemas.openxmlformats.org/officeDocument/2006/relationships/hyperlink" Target="https://censusreporter.org/" TargetMode="External"/><Relationship Id="rId320" Type="http://schemas.openxmlformats.org/officeDocument/2006/relationships/hyperlink" Target="https://censusreporter.org/" TargetMode="External"/><Relationship Id="rId562" Type="http://schemas.openxmlformats.org/officeDocument/2006/relationships/hyperlink" Target="https://censusreporter.org/" TargetMode="External"/><Relationship Id="rId316" Type="http://schemas.openxmlformats.org/officeDocument/2006/relationships/hyperlink" Target="https://censusreporter.org/" TargetMode="External"/><Relationship Id="rId558" Type="http://schemas.openxmlformats.org/officeDocument/2006/relationships/hyperlink" Target="https://censusreporter.org/" TargetMode="External"/><Relationship Id="rId315" Type="http://schemas.openxmlformats.org/officeDocument/2006/relationships/hyperlink" Target="https://censusreporter.org/" TargetMode="External"/><Relationship Id="rId557" Type="http://schemas.openxmlformats.org/officeDocument/2006/relationships/hyperlink" Target="https://censusreporter.org/" TargetMode="External"/><Relationship Id="rId799" Type="http://schemas.openxmlformats.org/officeDocument/2006/relationships/hyperlink" Target="https://censusreporter.org/" TargetMode="External"/><Relationship Id="rId314" Type="http://schemas.openxmlformats.org/officeDocument/2006/relationships/hyperlink" Target="https://censusreporter.org/" TargetMode="External"/><Relationship Id="rId556" Type="http://schemas.openxmlformats.org/officeDocument/2006/relationships/hyperlink" Target="https://censusreporter.org/" TargetMode="External"/><Relationship Id="rId798" Type="http://schemas.openxmlformats.org/officeDocument/2006/relationships/hyperlink" Target="https://censusreporter.org/" TargetMode="External"/><Relationship Id="rId313" Type="http://schemas.openxmlformats.org/officeDocument/2006/relationships/hyperlink" Target="https://censusreporter.org/" TargetMode="External"/><Relationship Id="rId555" Type="http://schemas.openxmlformats.org/officeDocument/2006/relationships/hyperlink" Target="https://censusreporter.org/" TargetMode="External"/><Relationship Id="rId797" Type="http://schemas.openxmlformats.org/officeDocument/2006/relationships/hyperlink" Target="https://censusreporter.org/" TargetMode="External"/><Relationship Id="rId319" Type="http://schemas.openxmlformats.org/officeDocument/2006/relationships/hyperlink" Target="https://censusreporter.org/" TargetMode="External"/><Relationship Id="rId318" Type="http://schemas.openxmlformats.org/officeDocument/2006/relationships/hyperlink" Target="https://censusreporter.org/" TargetMode="External"/><Relationship Id="rId317" Type="http://schemas.openxmlformats.org/officeDocument/2006/relationships/hyperlink" Target="https://censusreporter.org/" TargetMode="External"/><Relationship Id="rId559" Type="http://schemas.openxmlformats.org/officeDocument/2006/relationships/hyperlink" Target="https://censusreporter.org/" TargetMode="External"/><Relationship Id="rId550" Type="http://schemas.openxmlformats.org/officeDocument/2006/relationships/hyperlink" Target="https://censusreporter.org/" TargetMode="External"/><Relationship Id="rId792" Type="http://schemas.openxmlformats.org/officeDocument/2006/relationships/hyperlink" Target="https://censusreporter.org/" TargetMode="External"/><Relationship Id="rId791" Type="http://schemas.openxmlformats.org/officeDocument/2006/relationships/hyperlink" Target="https://censusreporter.org/" TargetMode="External"/><Relationship Id="rId790" Type="http://schemas.openxmlformats.org/officeDocument/2006/relationships/hyperlink" Target="https://censusreporter.org/" TargetMode="External"/><Relationship Id="rId312" Type="http://schemas.openxmlformats.org/officeDocument/2006/relationships/hyperlink" Target="https://censusreporter.org/" TargetMode="External"/><Relationship Id="rId554" Type="http://schemas.openxmlformats.org/officeDocument/2006/relationships/hyperlink" Target="https://censusreporter.org/" TargetMode="External"/><Relationship Id="rId796" Type="http://schemas.openxmlformats.org/officeDocument/2006/relationships/hyperlink" Target="https://censusreporter.org/" TargetMode="External"/><Relationship Id="rId311" Type="http://schemas.openxmlformats.org/officeDocument/2006/relationships/hyperlink" Target="https://censusreporter.org/" TargetMode="External"/><Relationship Id="rId553" Type="http://schemas.openxmlformats.org/officeDocument/2006/relationships/hyperlink" Target="https://censusreporter.org/" TargetMode="External"/><Relationship Id="rId795" Type="http://schemas.openxmlformats.org/officeDocument/2006/relationships/hyperlink" Target="https://censusreporter.org/" TargetMode="External"/><Relationship Id="rId310" Type="http://schemas.openxmlformats.org/officeDocument/2006/relationships/hyperlink" Target="https://censusreporter.org/" TargetMode="External"/><Relationship Id="rId552" Type="http://schemas.openxmlformats.org/officeDocument/2006/relationships/hyperlink" Target="https://censusreporter.org/" TargetMode="External"/><Relationship Id="rId794" Type="http://schemas.openxmlformats.org/officeDocument/2006/relationships/hyperlink" Target="https://censusreporter.org/" TargetMode="External"/><Relationship Id="rId551" Type="http://schemas.openxmlformats.org/officeDocument/2006/relationships/hyperlink" Target="https://censusreporter.org/" TargetMode="External"/><Relationship Id="rId793" Type="http://schemas.openxmlformats.org/officeDocument/2006/relationships/hyperlink" Target="https://censusreporter.org/" TargetMode="External"/><Relationship Id="rId297" Type="http://schemas.openxmlformats.org/officeDocument/2006/relationships/hyperlink" Target="https://censusreporter.org/" TargetMode="External"/><Relationship Id="rId296" Type="http://schemas.openxmlformats.org/officeDocument/2006/relationships/hyperlink" Target="https://censusreporter.org/" TargetMode="External"/><Relationship Id="rId295" Type="http://schemas.openxmlformats.org/officeDocument/2006/relationships/hyperlink" Target="https://censusreporter.org/" TargetMode="External"/><Relationship Id="rId294" Type="http://schemas.openxmlformats.org/officeDocument/2006/relationships/hyperlink" Target="https://censusreporter.org/" TargetMode="External"/><Relationship Id="rId299" Type="http://schemas.openxmlformats.org/officeDocument/2006/relationships/hyperlink" Target="https://censusreporter.org/" TargetMode="External"/><Relationship Id="rId298" Type="http://schemas.openxmlformats.org/officeDocument/2006/relationships/hyperlink" Target="https://censusreporter.org/" TargetMode="External"/><Relationship Id="rId271" Type="http://schemas.openxmlformats.org/officeDocument/2006/relationships/hyperlink" Target="https://censusreporter.org/" TargetMode="External"/><Relationship Id="rId270" Type="http://schemas.openxmlformats.org/officeDocument/2006/relationships/hyperlink" Target="https://censusreporter.org/" TargetMode="External"/><Relationship Id="rId269" Type="http://schemas.openxmlformats.org/officeDocument/2006/relationships/hyperlink" Target="https://censusreporter.org/" TargetMode="External"/><Relationship Id="rId264" Type="http://schemas.openxmlformats.org/officeDocument/2006/relationships/hyperlink" Target="https://censusreporter.org/" TargetMode="External"/><Relationship Id="rId263" Type="http://schemas.openxmlformats.org/officeDocument/2006/relationships/hyperlink" Target="https://censusreporter.org/" TargetMode="External"/><Relationship Id="rId262" Type="http://schemas.openxmlformats.org/officeDocument/2006/relationships/hyperlink" Target="https://censusreporter.org/" TargetMode="External"/><Relationship Id="rId261" Type="http://schemas.openxmlformats.org/officeDocument/2006/relationships/hyperlink" Target="https://censusreporter.org/" TargetMode="External"/><Relationship Id="rId268" Type="http://schemas.openxmlformats.org/officeDocument/2006/relationships/hyperlink" Target="https://censusreporter.org/" TargetMode="External"/><Relationship Id="rId267" Type="http://schemas.openxmlformats.org/officeDocument/2006/relationships/hyperlink" Target="https://censusreporter.org/" TargetMode="External"/><Relationship Id="rId266" Type="http://schemas.openxmlformats.org/officeDocument/2006/relationships/hyperlink" Target="https://censusreporter.org/" TargetMode="External"/><Relationship Id="rId265" Type="http://schemas.openxmlformats.org/officeDocument/2006/relationships/hyperlink" Target="https://censusreporter.org/" TargetMode="External"/><Relationship Id="rId260" Type="http://schemas.openxmlformats.org/officeDocument/2006/relationships/hyperlink" Target="https://censusreporter.org/" TargetMode="External"/><Relationship Id="rId259" Type="http://schemas.openxmlformats.org/officeDocument/2006/relationships/hyperlink" Target="https://censusreporter.org/" TargetMode="External"/><Relationship Id="rId258" Type="http://schemas.openxmlformats.org/officeDocument/2006/relationships/hyperlink" Target="https://censusreporter.org/" TargetMode="External"/><Relationship Id="rId253" Type="http://schemas.openxmlformats.org/officeDocument/2006/relationships/hyperlink" Target="https://censusreporter.org/" TargetMode="External"/><Relationship Id="rId495" Type="http://schemas.openxmlformats.org/officeDocument/2006/relationships/hyperlink" Target="https://censusreporter.org/" TargetMode="External"/><Relationship Id="rId252" Type="http://schemas.openxmlformats.org/officeDocument/2006/relationships/hyperlink" Target="https://censusreporter.org/" TargetMode="External"/><Relationship Id="rId494" Type="http://schemas.openxmlformats.org/officeDocument/2006/relationships/hyperlink" Target="https://censusreporter.org/" TargetMode="External"/><Relationship Id="rId251" Type="http://schemas.openxmlformats.org/officeDocument/2006/relationships/hyperlink" Target="https://censusreporter.org/" TargetMode="External"/><Relationship Id="rId493" Type="http://schemas.openxmlformats.org/officeDocument/2006/relationships/hyperlink" Target="https://censusreporter.org/" TargetMode="External"/><Relationship Id="rId250" Type="http://schemas.openxmlformats.org/officeDocument/2006/relationships/hyperlink" Target="https://censusreporter.org/" TargetMode="External"/><Relationship Id="rId492" Type="http://schemas.openxmlformats.org/officeDocument/2006/relationships/hyperlink" Target="https://censusreporter.org/" TargetMode="External"/><Relationship Id="rId257" Type="http://schemas.openxmlformats.org/officeDocument/2006/relationships/hyperlink" Target="https://censusreporter.org/" TargetMode="External"/><Relationship Id="rId499" Type="http://schemas.openxmlformats.org/officeDocument/2006/relationships/hyperlink" Target="https://censusreporter.org/" TargetMode="External"/><Relationship Id="rId256" Type="http://schemas.openxmlformats.org/officeDocument/2006/relationships/hyperlink" Target="https://censusreporter.org/" TargetMode="External"/><Relationship Id="rId498" Type="http://schemas.openxmlformats.org/officeDocument/2006/relationships/hyperlink" Target="https://censusreporter.org/" TargetMode="External"/><Relationship Id="rId255" Type="http://schemas.openxmlformats.org/officeDocument/2006/relationships/hyperlink" Target="https://censusreporter.org/" TargetMode="External"/><Relationship Id="rId497" Type="http://schemas.openxmlformats.org/officeDocument/2006/relationships/hyperlink" Target="https://censusreporter.org/" TargetMode="External"/><Relationship Id="rId254" Type="http://schemas.openxmlformats.org/officeDocument/2006/relationships/hyperlink" Target="https://censusreporter.org/" TargetMode="External"/><Relationship Id="rId496" Type="http://schemas.openxmlformats.org/officeDocument/2006/relationships/hyperlink" Target="https://censusreporter.org/" TargetMode="External"/><Relationship Id="rId293" Type="http://schemas.openxmlformats.org/officeDocument/2006/relationships/hyperlink" Target="https://censusreporter.org/" TargetMode="External"/><Relationship Id="rId292" Type="http://schemas.openxmlformats.org/officeDocument/2006/relationships/hyperlink" Target="https://censusreporter.org/" TargetMode="External"/><Relationship Id="rId291" Type="http://schemas.openxmlformats.org/officeDocument/2006/relationships/hyperlink" Target="https://censusreporter.org/" TargetMode="External"/><Relationship Id="rId290" Type="http://schemas.openxmlformats.org/officeDocument/2006/relationships/hyperlink" Target="https://censusreporter.org/" TargetMode="External"/><Relationship Id="rId286" Type="http://schemas.openxmlformats.org/officeDocument/2006/relationships/hyperlink" Target="https://censusreporter.org/" TargetMode="External"/><Relationship Id="rId285" Type="http://schemas.openxmlformats.org/officeDocument/2006/relationships/hyperlink" Target="https://censusreporter.org/" TargetMode="External"/><Relationship Id="rId284" Type="http://schemas.openxmlformats.org/officeDocument/2006/relationships/hyperlink" Target="https://censusreporter.org/" TargetMode="External"/><Relationship Id="rId283" Type="http://schemas.openxmlformats.org/officeDocument/2006/relationships/hyperlink" Target="https://censusreporter.org/" TargetMode="External"/><Relationship Id="rId289" Type="http://schemas.openxmlformats.org/officeDocument/2006/relationships/hyperlink" Target="https://censusreporter.org/" TargetMode="External"/><Relationship Id="rId288" Type="http://schemas.openxmlformats.org/officeDocument/2006/relationships/hyperlink" Target="https://censusreporter.org/" TargetMode="External"/><Relationship Id="rId287" Type="http://schemas.openxmlformats.org/officeDocument/2006/relationships/hyperlink" Target="https://censusreporter.org/" TargetMode="External"/><Relationship Id="rId282" Type="http://schemas.openxmlformats.org/officeDocument/2006/relationships/hyperlink" Target="https://censusreporter.org/" TargetMode="External"/><Relationship Id="rId281" Type="http://schemas.openxmlformats.org/officeDocument/2006/relationships/hyperlink" Target="https://censusreporter.org/" TargetMode="External"/><Relationship Id="rId280" Type="http://schemas.openxmlformats.org/officeDocument/2006/relationships/hyperlink" Target="https://censusreporter.org/" TargetMode="External"/><Relationship Id="rId275" Type="http://schemas.openxmlformats.org/officeDocument/2006/relationships/hyperlink" Target="https://censusreporter.org/" TargetMode="External"/><Relationship Id="rId274" Type="http://schemas.openxmlformats.org/officeDocument/2006/relationships/hyperlink" Target="https://censusreporter.org/" TargetMode="External"/><Relationship Id="rId273" Type="http://schemas.openxmlformats.org/officeDocument/2006/relationships/hyperlink" Target="https://censusreporter.org/" TargetMode="External"/><Relationship Id="rId272" Type="http://schemas.openxmlformats.org/officeDocument/2006/relationships/hyperlink" Target="https://censusreporter.org/" TargetMode="External"/><Relationship Id="rId279" Type="http://schemas.openxmlformats.org/officeDocument/2006/relationships/hyperlink" Target="https://censusreporter.org/" TargetMode="External"/><Relationship Id="rId278" Type="http://schemas.openxmlformats.org/officeDocument/2006/relationships/hyperlink" Target="https://censusreporter.org/" TargetMode="External"/><Relationship Id="rId277" Type="http://schemas.openxmlformats.org/officeDocument/2006/relationships/hyperlink" Target="https://censusreporter.org/" TargetMode="External"/><Relationship Id="rId276" Type="http://schemas.openxmlformats.org/officeDocument/2006/relationships/hyperlink" Target="https://censusreporter.org/" TargetMode="External"/><Relationship Id="rId907" Type="http://schemas.openxmlformats.org/officeDocument/2006/relationships/hyperlink" Target="https://censusreporter.org/" TargetMode="External"/><Relationship Id="rId906" Type="http://schemas.openxmlformats.org/officeDocument/2006/relationships/hyperlink" Target="https://censusreporter.org/" TargetMode="External"/><Relationship Id="rId905" Type="http://schemas.openxmlformats.org/officeDocument/2006/relationships/hyperlink" Target="https://censusreporter.org/" TargetMode="External"/><Relationship Id="rId904" Type="http://schemas.openxmlformats.org/officeDocument/2006/relationships/hyperlink" Target="https://censusreporter.org/" TargetMode="External"/><Relationship Id="rId909" Type="http://schemas.openxmlformats.org/officeDocument/2006/relationships/hyperlink" Target="https://censusreporter.org/" TargetMode="External"/><Relationship Id="rId908" Type="http://schemas.openxmlformats.org/officeDocument/2006/relationships/hyperlink" Target="https://censusreporter.org/" TargetMode="External"/><Relationship Id="rId903" Type="http://schemas.openxmlformats.org/officeDocument/2006/relationships/hyperlink" Target="https://censusreporter.org/" TargetMode="External"/><Relationship Id="rId902" Type="http://schemas.openxmlformats.org/officeDocument/2006/relationships/hyperlink" Target="https://censusreporter.org/" TargetMode="External"/><Relationship Id="rId901" Type="http://schemas.openxmlformats.org/officeDocument/2006/relationships/hyperlink" Target="https://censusreporter.org/" TargetMode="External"/><Relationship Id="rId900" Type="http://schemas.openxmlformats.org/officeDocument/2006/relationships/hyperlink" Target="https://censusreporter.org/" TargetMode="External"/><Relationship Id="rId929" Type="http://schemas.openxmlformats.org/officeDocument/2006/relationships/hyperlink" Target="https://censusreporter.org/" TargetMode="External"/><Relationship Id="rId928" Type="http://schemas.openxmlformats.org/officeDocument/2006/relationships/hyperlink" Target="https://censusreporter.org/" TargetMode="External"/><Relationship Id="rId927" Type="http://schemas.openxmlformats.org/officeDocument/2006/relationships/hyperlink" Target="https://censusreporter.org/" TargetMode="External"/><Relationship Id="rId926" Type="http://schemas.openxmlformats.org/officeDocument/2006/relationships/hyperlink" Target="https://censusreporter.org/" TargetMode="External"/><Relationship Id="rId921" Type="http://schemas.openxmlformats.org/officeDocument/2006/relationships/hyperlink" Target="https://censusreporter.org/" TargetMode="External"/><Relationship Id="rId920" Type="http://schemas.openxmlformats.org/officeDocument/2006/relationships/hyperlink" Target="https://censusreporter.org/" TargetMode="External"/><Relationship Id="rId925" Type="http://schemas.openxmlformats.org/officeDocument/2006/relationships/hyperlink" Target="https://censusreporter.org/" TargetMode="External"/><Relationship Id="rId924" Type="http://schemas.openxmlformats.org/officeDocument/2006/relationships/hyperlink" Target="https://censusreporter.org/" TargetMode="External"/><Relationship Id="rId923" Type="http://schemas.openxmlformats.org/officeDocument/2006/relationships/hyperlink" Target="https://censusreporter.org/" TargetMode="External"/><Relationship Id="rId922" Type="http://schemas.openxmlformats.org/officeDocument/2006/relationships/hyperlink" Target="https://censusreporter.org/" TargetMode="External"/><Relationship Id="rId918" Type="http://schemas.openxmlformats.org/officeDocument/2006/relationships/hyperlink" Target="https://censusreporter.org/" TargetMode="External"/><Relationship Id="rId917" Type="http://schemas.openxmlformats.org/officeDocument/2006/relationships/hyperlink" Target="https://censusreporter.org/" TargetMode="External"/><Relationship Id="rId916" Type="http://schemas.openxmlformats.org/officeDocument/2006/relationships/hyperlink" Target="https://censusreporter.org/" TargetMode="External"/><Relationship Id="rId915" Type="http://schemas.openxmlformats.org/officeDocument/2006/relationships/hyperlink" Target="https://censusreporter.org/" TargetMode="External"/><Relationship Id="rId919" Type="http://schemas.openxmlformats.org/officeDocument/2006/relationships/hyperlink" Target="https://censusreporter.org/" TargetMode="External"/><Relationship Id="rId910" Type="http://schemas.openxmlformats.org/officeDocument/2006/relationships/hyperlink" Target="https://censusreporter.org/" TargetMode="External"/><Relationship Id="rId914" Type="http://schemas.openxmlformats.org/officeDocument/2006/relationships/hyperlink" Target="https://censusreporter.org/" TargetMode="External"/><Relationship Id="rId913" Type="http://schemas.openxmlformats.org/officeDocument/2006/relationships/hyperlink" Target="https://censusreporter.org/" TargetMode="External"/><Relationship Id="rId912" Type="http://schemas.openxmlformats.org/officeDocument/2006/relationships/hyperlink" Target="https://censusreporter.org/" TargetMode="External"/><Relationship Id="rId911" Type="http://schemas.openxmlformats.org/officeDocument/2006/relationships/hyperlink" Target="https://censusreporter.org/" TargetMode="External"/><Relationship Id="rId629" Type="http://schemas.openxmlformats.org/officeDocument/2006/relationships/hyperlink" Target="https://censusreporter.org/" TargetMode="External"/><Relationship Id="rId624" Type="http://schemas.openxmlformats.org/officeDocument/2006/relationships/hyperlink" Target="https://censusreporter.org/" TargetMode="External"/><Relationship Id="rId866" Type="http://schemas.openxmlformats.org/officeDocument/2006/relationships/hyperlink" Target="https://censusreporter.org/" TargetMode="External"/><Relationship Id="rId623" Type="http://schemas.openxmlformats.org/officeDocument/2006/relationships/hyperlink" Target="https://censusreporter.org/" TargetMode="External"/><Relationship Id="rId865" Type="http://schemas.openxmlformats.org/officeDocument/2006/relationships/hyperlink" Target="https://censusreporter.org/" TargetMode="External"/><Relationship Id="rId622" Type="http://schemas.openxmlformats.org/officeDocument/2006/relationships/hyperlink" Target="https://censusreporter.org/" TargetMode="External"/><Relationship Id="rId864" Type="http://schemas.openxmlformats.org/officeDocument/2006/relationships/hyperlink" Target="https://censusreporter.org/" TargetMode="External"/><Relationship Id="rId621" Type="http://schemas.openxmlformats.org/officeDocument/2006/relationships/hyperlink" Target="https://censusreporter.org/" TargetMode="External"/><Relationship Id="rId863" Type="http://schemas.openxmlformats.org/officeDocument/2006/relationships/hyperlink" Target="https://censusreporter.org/" TargetMode="External"/><Relationship Id="rId628" Type="http://schemas.openxmlformats.org/officeDocument/2006/relationships/hyperlink" Target="https://censusreporter.org/" TargetMode="External"/><Relationship Id="rId627" Type="http://schemas.openxmlformats.org/officeDocument/2006/relationships/hyperlink" Target="https://censusreporter.org/" TargetMode="External"/><Relationship Id="rId869" Type="http://schemas.openxmlformats.org/officeDocument/2006/relationships/hyperlink" Target="https://censusreporter.org/" TargetMode="External"/><Relationship Id="rId626" Type="http://schemas.openxmlformats.org/officeDocument/2006/relationships/hyperlink" Target="https://censusreporter.org/" TargetMode="External"/><Relationship Id="rId868" Type="http://schemas.openxmlformats.org/officeDocument/2006/relationships/hyperlink" Target="https://censusreporter.org/" TargetMode="External"/><Relationship Id="rId625" Type="http://schemas.openxmlformats.org/officeDocument/2006/relationships/hyperlink" Target="https://censusreporter.org/" TargetMode="External"/><Relationship Id="rId867" Type="http://schemas.openxmlformats.org/officeDocument/2006/relationships/hyperlink" Target="https://censusreporter.org/" TargetMode="External"/><Relationship Id="rId620" Type="http://schemas.openxmlformats.org/officeDocument/2006/relationships/hyperlink" Target="https://censusreporter.org/" TargetMode="External"/><Relationship Id="rId862" Type="http://schemas.openxmlformats.org/officeDocument/2006/relationships/hyperlink" Target="https://censusreporter.org/" TargetMode="External"/><Relationship Id="rId861" Type="http://schemas.openxmlformats.org/officeDocument/2006/relationships/hyperlink" Target="https://censusreporter.org/" TargetMode="External"/><Relationship Id="rId860" Type="http://schemas.openxmlformats.org/officeDocument/2006/relationships/hyperlink" Target="https://censusreporter.org/" TargetMode="External"/><Relationship Id="rId619" Type="http://schemas.openxmlformats.org/officeDocument/2006/relationships/hyperlink" Target="https://censusreporter.org/" TargetMode="External"/><Relationship Id="rId618" Type="http://schemas.openxmlformats.org/officeDocument/2006/relationships/hyperlink" Target="https://censusreporter.org/" TargetMode="External"/><Relationship Id="rId613" Type="http://schemas.openxmlformats.org/officeDocument/2006/relationships/hyperlink" Target="https://censusreporter.org/" TargetMode="External"/><Relationship Id="rId855" Type="http://schemas.openxmlformats.org/officeDocument/2006/relationships/hyperlink" Target="https://censusreporter.org/" TargetMode="External"/><Relationship Id="rId612" Type="http://schemas.openxmlformats.org/officeDocument/2006/relationships/hyperlink" Target="https://censusreporter.org/" TargetMode="External"/><Relationship Id="rId854" Type="http://schemas.openxmlformats.org/officeDocument/2006/relationships/hyperlink" Target="https://censusreporter.org/" TargetMode="External"/><Relationship Id="rId611" Type="http://schemas.openxmlformats.org/officeDocument/2006/relationships/hyperlink" Target="https://censusreporter.org/" TargetMode="External"/><Relationship Id="rId853" Type="http://schemas.openxmlformats.org/officeDocument/2006/relationships/hyperlink" Target="https://censusreporter.org/" TargetMode="External"/><Relationship Id="rId610" Type="http://schemas.openxmlformats.org/officeDocument/2006/relationships/hyperlink" Target="https://censusreporter.org/" TargetMode="External"/><Relationship Id="rId852" Type="http://schemas.openxmlformats.org/officeDocument/2006/relationships/hyperlink" Target="https://censusreporter.org/" TargetMode="External"/><Relationship Id="rId617" Type="http://schemas.openxmlformats.org/officeDocument/2006/relationships/hyperlink" Target="https://censusreporter.org/" TargetMode="External"/><Relationship Id="rId859" Type="http://schemas.openxmlformats.org/officeDocument/2006/relationships/hyperlink" Target="https://censusreporter.org/" TargetMode="External"/><Relationship Id="rId616" Type="http://schemas.openxmlformats.org/officeDocument/2006/relationships/hyperlink" Target="https://censusreporter.org/" TargetMode="External"/><Relationship Id="rId858" Type="http://schemas.openxmlformats.org/officeDocument/2006/relationships/hyperlink" Target="https://censusreporter.org/" TargetMode="External"/><Relationship Id="rId615" Type="http://schemas.openxmlformats.org/officeDocument/2006/relationships/hyperlink" Target="https://censusreporter.org/" TargetMode="External"/><Relationship Id="rId857" Type="http://schemas.openxmlformats.org/officeDocument/2006/relationships/hyperlink" Target="https://censusreporter.org/" TargetMode="External"/><Relationship Id="rId614" Type="http://schemas.openxmlformats.org/officeDocument/2006/relationships/hyperlink" Target="https://censusreporter.org/" TargetMode="External"/><Relationship Id="rId856" Type="http://schemas.openxmlformats.org/officeDocument/2006/relationships/hyperlink" Target="https://censusreporter.org/" TargetMode="External"/><Relationship Id="rId851" Type="http://schemas.openxmlformats.org/officeDocument/2006/relationships/hyperlink" Target="https://censusreporter.org/" TargetMode="External"/><Relationship Id="rId850" Type="http://schemas.openxmlformats.org/officeDocument/2006/relationships/hyperlink" Target="https://censusreporter.org/" TargetMode="External"/><Relationship Id="rId409" Type="http://schemas.openxmlformats.org/officeDocument/2006/relationships/hyperlink" Target="https://censusreporter.org/" TargetMode="External"/><Relationship Id="rId404" Type="http://schemas.openxmlformats.org/officeDocument/2006/relationships/hyperlink" Target="https://censusreporter.org/" TargetMode="External"/><Relationship Id="rId646" Type="http://schemas.openxmlformats.org/officeDocument/2006/relationships/hyperlink" Target="https://censusreporter.org/" TargetMode="External"/><Relationship Id="rId888" Type="http://schemas.openxmlformats.org/officeDocument/2006/relationships/hyperlink" Target="https://censusreporter.org/" TargetMode="External"/><Relationship Id="rId403" Type="http://schemas.openxmlformats.org/officeDocument/2006/relationships/hyperlink" Target="https://censusreporter.org/" TargetMode="External"/><Relationship Id="rId645" Type="http://schemas.openxmlformats.org/officeDocument/2006/relationships/hyperlink" Target="https://censusreporter.org/" TargetMode="External"/><Relationship Id="rId887" Type="http://schemas.openxmlformats.org/officeDocument/2006/relationships/hyperlink" Target="https://censusreporter.org/" TargetMode="External"/><Relationship Id="rId402" Type="http://schemas.openxmlformats.org/officeDocument/2006/relationships/hyperlink" Target="https://censusreporter.org/" TargetMode="External"/><Relationship Id="rId644" Type="http://schemas.openxmlformats.org/officeDocument/2006/relationships/hyperlink" Target="https://censusreporter.org/" TargetMode="External"/><Relationship Id="rId886" Type="http://schemas.openxmlformats.org/officeDocument/2006/relationships/hyperlink" Target="https://censusreporter.org/" TargetMode="External"/><Relationship Id="rId401" Type="http://schemas.openxmlformats.org/officeDocument/2006/relationships/hyperlink" Target="https://censusreporter.org/" TargetMode="External"/><Relationship Id="rId643" Type="http://schemas.openxmlformats.org/officeDocument/2006/relationships/hyperlink" Target="https://censusreporter.org/" TargetMode="External"/><Relationship Id="rId885" Type="http://schemas.openxmlformats.org/officeDocument/2006/relationships/hyperlink" Target="https://censusreporter.org/" TargetMode="External"/><Relationship Id="rId408" Type="http://schemas.openxmlformats.org/officeDocument/2006/relationships/hyperlink" Target="https://censusreporter.org/" TargetMode="External"/><Relationship Id="rId407" Type="http://schemas.openxmlformats.org/officeDocument/2006/relationships/hyperlink" Target="https://censusreporter.org/" TargetMode="External"/><Relationship Id="rId649" Type="http://schemas.openxmlformats.org/officeDocument/2006/relationships/hyperlink" Target="https://censusreporter.org/" TargetMode="External"/><Relationship Id="rId406" Type="http://schemas.openxmlformats.org/officeDocument/2006/relationships/hyperlink" Target="https://censusreporter.org/" TargetMode="External"/><Relationship Id="rId648" Type="http://schemas.openxmlformats.org/officeDocument/2006/relationships/hyperlink" Target="https://censusreporter.org/" TargetMode="External"/><Relationship Id="rId405" Type="http://schemas.openxmlformats.org/officeDocument/2006/relationships/hyperlink" Target="https://censusreporter.org/" TargetMode="External"/><Relationship Id="rId647" Type="http://schemas.openxmlformats.org/officeDocument/2006/relationships/hyperlink" Target="https://censusreporter.org/" TargetMode="External"/><Relationship Id="rId889" Type="http://schemas.openxmlformats.org/officeDocument/2006/relationships/hyperlink" Target="https://censusreporter.org/" TargetMode="External"/><Relationship Id="rId880" Type="http://schemas.openxmlformats.org/officeDocument/2006/relationships/hyperlink" Target="https://censusreporter.org/" TargetMode="External"/><Relationship Id="rId400" Type="http://schemas.openxmlformats.org/officeDocument/2006/relationships/hyperlink" Target="https://censusreporter.org/" TargetMode="External"/><Relationship Id="rId642" Type="http://schemas.openxmlformats.org/officeDocument/2006/relationships/hyperlink" Target="https://censusreporter.org/" TargetMode="External"/><Relationship Id="rId884" Type="http://schemas.openxmlformats.org/officeDocument/2006/relationships/hyperlink" Target="https://censusreporter.org/" TargetMode="External"/><Relationship Id="rId641" Type="http://schemas.openxmlformats.org/officeDocument/2006/relationships/hyperlink" Target="https://censusreporter.org/" TargetMode="External"/><Relationship Id="rId883" Type="http://schemas.openxmlformats.org/officeDocument/2006/relationships/hyperlink" Target="https://censusreporter.org/" TargetMode="External"/><Relationship Id="rId640" Type="http://schemas.openxmlformats.org/officeDocument/2006/relationships/hyperlink" Target="https://censusreporter.org/" TargetMode="External"/><Relationship Id="rId882" Type="http://schemas.openxmlformats.org/officeDocument/2006/relationships/hyperlink" Target="https://censusreporter.org/" TargetMode="External"/><Relationship Id="rId881" Type="http://schemas.openxmlformats.org/officeDocument/2006/relationships/hyperlink" Target="https://censusreporter.org/" TargetMode="External"/><Relationship Id="rId635" Type="http://schemas.openxmlformats.org/officeDocument/2006/relationships/hyperlink" Target="https://censusreporter.org/" TargetMode="External"/><Relationship Id="rId877" Type="http://schemas.openxmlformats.org/officeDocument/2006/relationships/hyperlink" Target="https://censusreporter.org/" TargetMode="External"/><Relationship Id="rId634" Type="http://schemas.openxmlformats.org/officeDocument/2006/relationships/hyperlink" Target="https://censusreporter.org/" TargetMode="External"/><Relationship Id="rId876" Type="http://schemas.openxmlformats.org/officeDocument/2006/relationships/hyperlink" Target="https://censusreporter.org/" TargetMode="External"/><Relationship Id="rId633" Type="http://schemas.openxmlformats.org/officeDocument/2006/relationships/hyperlink" Target="https://censusreporter.org/" TargetMode="External"/><Relationship Id="rId875" Type="http://schemas.openxmlformats.org/officeDocument/2006/relationships/hyperlink" Target="https://censusreporter.org/" TargetMode="External"/><Relationship Id="rId632" Type="http://schemas.openxmlformats.org/officeDocument/2006/relationships/hyperlink" Target="https://censusreporter.org/" TargetMode="External"/><Relationship Id="rId874" Type="http://schemas.openxmlformats.org/officeDocument/2006/relationships/hyperlink" Target="https://censusreporter.org/" TargetMode="External"/><Relationship Id="rId639" Type="http://schemas.openxmlformats.org/officeDocument/2006/relationships/hyperlink" Target="https://censusreporter.org/" TargetMode="External"/><Relationship Id="rId638" Type="http://schemas.openxmlformats.org/officeDocument/2006/relationships/hyperlink" Target="https://censusreporter.org/" TargetMode="External"/><Relationship Id="rId637" Type="http://schemas.openxmlformats.org/officeDocument/2006/relationships/hyperlink" Target="https://censusreporter.org/" TargetMode="External"/><Relationship Id="rId879" Type="http://schemas.openxmlformats.org/officeDocument/2006/relationships/hyperlink" Target="https://censusreporter.org/" TargetMode="External"/><Relationship Id="rId636" Type="http://schemas.openxmlformats.org/officeDocument/2006/relationships/hyperlink" Target="https://censusreporter.org/" TargetMode="External"/><Relationship Id="rId878" Type="http://schemas.openxmlformats.org/officeDocument/2006/relationships/hyperlink" Target="https://censusreporter.org/" TargetMode="External"/><Relationship Id="rId631" Type="http://schemas.openxmlformats.org/officeDocument/2006/relationships/hyperlink" Target="https://censusreporter.org/" TargetMode="External"/><Relationship Id="rId873" Type="http://schemas.openxmlformats.org/officeDocument/2006/relationships/hyperlink" Target="https://censusreporter.org/" TargetMode="External"/><Relationship Id="rId630" Type="http://schemas.openxmlformats.org/officeDocument/2006/relationships/hyperlink" Target="https://censusreporter.org/" TargetMode="External"/><Relationship Id="rId872" Type="http://schemas.openxmlformats.org/officeDocument/2006/relationships/hyperlink" Target="https://censusreporter.org/" TargetMode="External"/><Relationship Id="rId871" Type="http://schemas.openxmlformats.org/officeDocument/2006/relationships/hyperlink" Target="https://censusreporter.org/" TargetMode="External"/><Relationship Id="rId870" Type="http://schemas.openxmlformats.org/officeDocument/2006/relationships/hyperlink" Target="https://censusreporter.org/" TargetMode="External"/><Relationship Id="rId829" Type="http://schemas.openxmlformats.org/officeDocument/2006/relationships/hyperlink" Target="https://censusreporter.org/" TargetMode="External"/><Relationship Id="rId828" Type="http://schemas.openxmlformats.org/officeDocument/2006/relationships/hyperlink" Target="https://censusreporter.org/" TargetMode="External"/><Relationship Id="rId827" Type="http://schemas.openxmlformats.org/officeDocument/2006/relationships/hyperlink" Target="https://censusreporter.org/" TargetMode="External"/><Relationship Id="rId822" Type="http://schemas.openxmlformats.org/officeDocument/2006/relationships/hyperlink" Target="https://censusreporter.org/" TargetMode="External"/><Relationship Id="rId821" Type="http://schemas.openxmlformats.org/officeDocument/2006/relationships/hyperlink" Target="https://censusreporter.org/" TargetMode="External"/><Relationship Id="rId820" Type="http://schemas.openxmlformats.org/officeDocument/2006/relationships/hyperlink" Target="https://censusreporter.org/" TargetMode="External"/><Relationship Id="rId826" Type="http://schemas.openxmlformats.org/officeDocument/2006/relationships/hyperlink" Target="https://censusreporter.org/" TargetMode="External"/><Relationship Id="rId825" Type="http://schemas.openxmlformats.org/officeDocument/2006/relationships/hyperlink" Target="https://censusreporter.org/" TargetMode="External"/><Relationship Id="rId824" Type="http://schemas.openxmlformats.org/officeDocument/2006/relationships/hyperlink" Target="https://censusreporter.org/" TargetMode="External"/><Relationship Id="rId823" Type="http://schemas.openxmlformats.org/officeDocument/2006/relationships/hyperlink" Target="https://censusreporter.org/" TargetMode="External"/><Relationship Id="rId819" Type="http://schemas.openxmlformats.org/officeDocument/2006/relationships/hyperlink" Target="https://censusreporter.org/" TargetMode="External"/><Relationship Id="rId818" Type="http://schemas.openxmlformats.org/officeDocument/2006/relationships/hyperlink" Target="https://censusreporter.org/" TargetMode="External"/><Relationship Id="rId817" Type="http://schemas.openxmlformats.org/officeDocument/2006/relationships/hyperlink" Target="https://censusreporter.org/" TargetMode="External"/><Relationship Id="rId816" Type="http://schemas.openxmlformats.org/officeDocument/2006/relationships/hyperlink" Target="https://censusreporter.org/" TargetMode="External"/><Relationship Id="rId811" Type="http://schemas.openxmlformats.org/officeDocument/2006/relationships/hyperlink" Target="https://censusreporter.org/" TargetMode="External"/><Relationship Id="rId810" Type="http://schemas.openxmlformats.org/officeDocument/2006/relationships/hyperlink" Target="https://censusreporter.org/" TargetMode="External"/><Relationship Id="rId815" Type="http://schemas.openxmlformats.org/officeDocument/2006/relationships/hyperlink" Target="https://censusreporter.org/" TargetMode="External"/><Relationship Id="rId814" Type="http://schemas.openxmlformats.org/officeDocument/2006/relationships/hyperlink" Target="https://censusreporter.org/" TargetMode="External"/><Relationship Id="rId813" Type="http://schemas.openxmlformats.org/officeDocument/2006/relationships/hyperlink" Target="https://censusreporter.org/" TargetMode="External"/><Relationship Id="rId812" Type="http://schemas.openxmlformats.org/officeDocument/2006/relationships/hyperlink" Target="https://censusreporter.org/" TargetMode="External"/><Relationship Id="rId609" Type="http://schemas.openxmlformats.org/officeDocument/2006/relationships/hyperlink" Target="https://censusreporter.org/" TargetMode="External"/><Relationship Id="rId608" Type="http://schemas.openxmlformats.org/officeDocument/2006/relationships/hyperlink" Target="https://censusreporter.org/" TargetMode="External"/><Relationship Id="rId607" Type="http://schemas.openxmlformats.org/officeDocument/2006/relationships/hyperlink" Target="https://censusreporter.org/" TargetMode="External"/><Relationship Id="rId849" Type="http://schemas.openxmlformats.org/officeDocument/2006/relationships/hyperlink" Target="https://censusreporter.org/" TargetMode="External"/><Relationship Id="rId602" Type="http://schemas.openxmlformats.org/officeDocument/2006/relationships/hyperlink" Target="https://censusreporter.org/" TargetMode="External"/><Relationship Id="rId844" Type="http://schemas.openxmlformats.org/officeDocument/2006/relationships/hyperlink" Target="https://censusreporter.org/" TargetMode="External"/><Relationship Id="rId601" Type="http://schemas.openxmlformats.org/officeDocument/2006/relationships/hyperlink" Target="https://censusreporter.org/" TargetMode="External"/><Relationship Id="rId843" Type="http://schemas.openxmlformats.org/officeDocument/2006/relationships/hyperlink" Target="https://censusreporter.org/" TargetMode="External"/><Relationship Id="rId600" Type="http://schemas.openxmlformats.org/officeDocument/2006/relationships/hyperlink" Target="https://censusreporter.org/" TargetMode="External"/><Relationship Id="rId842" Type="http://schemas.openxmlformats.org/officeDocument/2006/relationships/hyperlink" Target="https://censusreporter.org/" TargetMode="External"/><Relationship Id="rId841" Type="http://schemas.openxmlformats.org/officeDocument/2006/relationships/hyperlink" Target="https://censusreporter.org/" TargetMode="External"/><Relationship Id="rId606" Type="http://schemas.openxmlformats.org/officeDocument/2006/relationships/hyperlink" Target="https://censusreporter.org/" TargetMode="External"/><Relationship Id="rId848" Type="http://schemas.openxmlformats.org/officeDocument/2006/relationships/hyperlink" Target="https://censusreporter.org/" TargetMode="External"/><Relationship Id="rId605" Type="http://schemas.openxmlformats.org/officeDocument/2006/relationships/hyperlink" Target="https://censusreporter.org/" TargetMode="External"/><Relationship Id="rId847" Type="http://schemas.openxmlformats.org/officeDocument/2006/relationships/hyperlink" Target="https://censusreporter.org/" TargetMode="External"/><Relationship Id="rId604" Type="http://schemas.openxmlformats.org/officeDocument/2006/relationships/hyperlink" Target="https://censusreporter.org/" TargetMode="External"/><Relationship Id="rId846" Type="http://schemas.openxmlformats.org/officeDocument/2006/relationships/hyperlink" Target="https://censusreporter.org/" TargetMode="External"/><Relationship Id="rId603" Type="http://schemas.openxmlformats.org/officeDocument/2006/relationships/hyperlink" Target="https://censusreporter.org/" TargetMode="External"/><Relationship Id="rId845" Type="http://schemas.openxmlformats.org/officeDocument/2006/relationships/hyperlink" Target="https://censusreporter.org/" TargetMode="External"/><Relationship Id="rId840" Type="http://schemas.openxmlformats.org/officeDocument/2006/relationships/hyperlink" Target="https://censusreporter.org/" TargetMode="External"/><Relationship Id="rId839" Type="http://schemas.openxmlformats.org/officeDocument/2006/relationships/hyperlink" Target="https://censusreporter.org/" TargetMode="External"/><Relationship Id="rId838" Type="http://schemas.openxmlformats.org/officeDocument/2006/relationships/hyperlink" Target="https://censusreporter.org/" TargetMode="External"/><Relationship Id="rId833" Type="http://schemas.openxmlformats.org/officeDocument/2006/relationships/hyperlink" Target="https://censusreporter.org/" TargetMode="External"/><Relationship Id="rId832" Type="http://schemas.openxmlformats.org/officeDocument/2006/relationships/hyperlink" Target="https://censusreporter.org/" TargetMode="External"/><Relationship Id="rId831" Type="http://schemas.openxmlformats.org/officeDocument/2006/relationships/hyperlink" Target="https://censusreporter.org/" TargetMode="External"/><Relationship Id="rId830" Type="http://schemas.openxmlformats.org/officeDocument/2006/relationships/hyperlink" Target="https://censusreporter.org/" TargetMode="External"/><Relationship Id="rId837" Type="http://schemas.openxmlformats.org/officeDocument/2006/relationships/hyperlink" Target="https://censusreporter.org/" TargetMode="External"/><Relationship Id="rId836" Type="http://schemas.openxmlformats.org/officeDocument/2006/relationships/hyperlink" Target="https://censusreporter.org/" TargetMode="External"/><Relationship Id="rId835" Type="http://schemas.openxmlformats.org/officeDocument/2006/relationships/hyperlink" Target="https://censusreporter.org/" TargetMode="External"/><Relationship Id="rId834" Type="http://schemas.openxmlformats.org/officeDocument/2006/relationships/hyperlink" Target="https://censusreporter.org/" TargetMode="External"/><Relationship Id="rId1059" Type="http://schemas.openxmlformats.org/officeDocument/2006/relationships/hyperlink" Target="https://censusreporter.org/" TargetMode="External"/><Relationship Id="rId228" Type="http://schemas.openxmlformats.org/officeDocument/2006/relationships/hyperlink" Target="https://censusreporter.org/" TargetMode="External"/><Relationship Id="rId227" Type="http://schemas.openxmlformats.org/officeDocument/2006/relationships/hyperlink" Target="https://censusreporter.org/" TargetMode="External"/><Relationship Id="rId469" Type="http://schemas.openxmlformats.org/officeDocument/2006/relationships/hyperlink" Target="https://censusreporter.org/" TargetMode="External"/><Relationship Id="rId226" Type="http://schemas.openxmlformats.org/officeDocument/2006/relationships/hyperlink" Target="https://censusreporter.org/" TargetMode="External"/><Relationship Id="rId468" Type="http://schemas.openxmlformats.org/officeDocument/2006/relationships/hyperlink" Target="https://censusreporter.org/" TargetMode="External"/><Relationship Id="rId225" Type="http://schemas.openxmlformats.org/officeDocument/2006/relationships/hyperlink" Target="https://censusreporter.org/" TargetMode="External"/><Relationship Id="rId467" Type="http://schemas.openxmlformats.org/officeDocument/2006/relationships/hyperlink" Target="https://censusreporter.org/" TargetMode="External"/><Relationship Id="rId229" Type="http://schemas.openxmlformats.org/officeDocument/2006/relationships/hyperlink" Target="https://censusreporter.org/" TargetMode="External"/><Relationship Id="rId1050" Type="http://schemas.openxmlformats.org/officeDocument/2006/relationships/hyperlink" Target="https://censusreporter.org/" TargetMode="External"/><Relationship Id="rId220" Type="http://schemas.openxmlformats.org/officeDocument/2006/relationships/hyperlink" Target="https://censusreporter.org/" TargetMode="External"/><Relationship Id="rId462" Type="http://schemas.openxmlformats.org/officeDocument/2006/relationships/hyperlink" Target="https://censusreporter.org/" TargetMode="External"/><Relationship Id="rId1051" Type="http://schemas.openxmlformats.org/officeDocument/2006/relationships/hyperlink" Target="https://censusreporter.org/" TargetMode="External"/><Relationship Id="rId461" Type="http://schemas.openxmlformats.org/officeDocument/2006/relationships/hyperlink" Target="https://censusreporter.org/" TargetMode="External"/><Relationship Id="rId1052" Type="http://schemas.openxmlformats.org/officeDocument/2006/relationships/hyperlink" Target="https://censusreporter.org/" TargetMode="External"/><Relationship Id="rId460" Type="http://schemas.openxmlformats.org/officeDocument/2006/relationships/hyperlink" Target="https://censusreporter.org/" TargetMode="External"/><Relationship Id="rId1053" Type="http://schemas.openxmlformats.org/officeDocument/2006/relationships/hyperlink" Target="https://censusreporter.org/" TargetMode="External"/><Relationship Id="rId1054" Type="http://schemas.openxmlformats.org/officeDocument/2006/relationships/hyperlink" Target="https://censusreporter.org/" TargetMode="External"/><Relationship Id="rId224" Type="http://schemas.openxmlformats.org/officeDocument/2006/relationships/hyperlink" Target="https://censusreporter.org/" TargetMode="External"/><Relationship Id="rId466" Type="http://schemas.openxmlformats.org/officeDocument/2006/relationships/hyperlink" Target="https://censusreporter.org/" TargetMode="External"/><Relationship Id="rId1055" Type="http://schemas.openxmlformats.org/officeDocument/2006/relationships/hyperlink" Target="https://censusreporter.org/" TargetMode="External"/><Relationship Id="rId223" Type="http://schemas.openxmlformats.org/officeDocument/2006/relationships/hyperlink" Target="https://censusreporter.org/" TargetMode="External"/><Relationship Id="rId465" Type="http://schemas.openxmlformats.org/officeDocument/2006/relationships/hyperlink" Target="https://censusreporter.org/" TargetMode="External"/><Relationship Id="rId1056" Type="http://schemas.openxmlformats.org/officeDocument/2006/relationships/hyperlink" Target="https://censusreporter.org/" TargetMode="External"/><Relationship Id="rId222" Type="http://schemas.openxmlformats.org/officeDocument/2006/relationships/hyperlink" Target="https://censusreporter.org/" TargetMode="External"/><Relationship Id="rId464" Type="http://schemas.openxmlformats.org/officeDocument/2006/relationships/hyperlink" Target="https://censusreporter.org/" TargetMode="External"/><Relationship Id="rId1057" Type="http://schemas.openxmlformats.org/officeDocument/2006/relationships/hyperlink" Target="https://censusreporter.org/" TargetMode="External"/><Relationship Id="rId221" Type="http://schemas.openxmlformats.org/officeDocument/2006/relationships/hyperlink" Target="https://censusreporter.org/" TargetMode="External"/><Relationship Id="rId463" Type="http://schemas.openxmlformats.org/officeDocument/2006/relationships/hyperlink" Target="https://censusreporter.org/" TargetMode="External"/><Relationship Id="rId1058" Type="http://schemas.openxmlformats.org/officeDocument/2006/relationships/hyperlink" Target="https://censusreporter.org/" TargetMode="External"/><Relationship Id="rId1048" Type="http://schemas.openxmlformats.org/officeDocument/2006/relationships/hyperlink" Target="https://censusreporter.org/" TargetMode="External"/><Relationship Id="rId1049" Type="http://schemas.openxmlformats.org/officeDocument/2006/relationships/hyperlink" Target="https://censusreporter.org/" TargetMode="External"/><Relationship Id="rId217" Type="http://schemas.openxmlformats.org/officeDocument/2006/relationships/hyperlink" Target="https://censusreporter.org/" TargetMode="External"/><Relationship Id="rId459" Type="http://schemas.openxmlformats.org/officeDocument/2006/relationships/hyperlink" Target="https://censusreporter.org/" TargetMode="External"/><Relationship Id="rId216" Type="http://schemas.openxmlformats.org/officeDocument/2006/relationships/hyperlink" Target="https://censusreporter.org/" TargetMode="External"/><Relationship Id="rId458" Type="http://schemas.openxmlformats.org/officeDocument/2006/relationships/hyperlink" Target="https://censusreporter.org/" TargetMode="External"/><Relationship Id="rId215" Type="http://schemas.openxmlformats.org/officeDocument/2006/relationships/hyperlink" Target="https://censusreporter.org/" TargetMode="External"/><Relationship Id="rId457" Type="http://schemas.openxmlformats.org/officeDocument/2006/relationships/hyperlink" Target="https://censusreporter.org/" TargetMode="External"/><Relationship Id="rId699" Type="http://schemas.openxmlformats.org/officeDocument/2006/relationships/hyperlink" Target="https://censusreporter.org/" TargetMode="External"/><Relationship Id="rId214" Type="http://schemas.openxmlformats.org/officeDocument/2006/relationships/hyperlink" Target="https://censusreporter.org/" TargetMode="External"/><Relationship Id="rId456" Type="http://schemas.openxmlformats.org/officeDocument/2006/relationships/hyperlink" Target="https://censusreporter.org/" TargetMode="External"/><Relationship Id="rId698" Type="http://schemas.openxmlformats.org/officeDocument/2006/relationships/hyperlink" Target="https://censusreporter.org/" TargetMode="External"/><Relationship Id="rId219" Type="http://schemas.openxmlformats.org/officeDocument/2006/relationships/hyperlink" Target="https://censusreporter.org/" TargetMode="External"/><Relationship Id="rId218" Type="http://schemas.openxmlformats.org/officeDocument/2006/relationships/hyperlink" Target="https://censusreporter.org/" TargetMode="External"/><Relationship Id="rId451" Type="http://schemas.openxmlformats.org/officeDocument/2006/relationships/hyperlink" Target="https://censusreporter.org/" TargetMode="External"/><Relationship Id="rId693" Type="http://schemas.openxmlformats.org/officeDocument/2006/relationships/hyperlink" Target="https://censusreporter.org/" TargetMode="External"/><Relationship Id="rId1040" Type="http://schemas.openxmlformats.org/officeDocument/2006/relationships/hyperlink" Target="https://censusreporter.org/" TargetMode="External"/><Relationship Id="rId450" Type="http://schemas.openxmlformats.org/officeDocument/2006/relationships/hyperlink" Target="https://censusreporter.org/" TargetMode="External"/><Relationship Id="rId692" Type="http://schemas.openxmlformats.org/officeDocument/2006/relationships/hyperlink" Target="https://censusreporter.org/" TargetMode="External"/><Relationship Id="rId1041" Type="http://schemas.openxmlformats.org/officeDocument/2006/relationships/hyperlink" Target="https://censusreporter.org/" TargetMode="External"/><Relationship Id="rId691" Type="http://schemas.openxmlformats.org/officeDocument/2006/relationships/hyperlink" Target="https://censusreporter.org/" TargetMode="External"/><Relationship Id="rId1042" Type="http://schemas.openxmlformats.org/officeDocument/2006/relationships/hyperlink" Target="https://censusreporter.org/" TargetMode="External"/><Relationship Id="rId690" Type="http://schemas.openxmlformats.org/officeDocument/2006/relationships/hyperlink" Target="https://censusreporter.org/" TargetMode="External"/><Relationship Id="rId1043" Type="http://schemas.openxmlformats.org/officeDocument/2006/relationships/hyperlink" Target="https://censusreporter.org/" TargetMode="External"/><Relationship Id="rId213" Type="http://schemas.openxmlformats.org/officeDocument/2006/relationships/hyperlink" Target="https://censusreporter.org/" TargetMode="External"/><Relationship Id="rId455" Type="http://schemas.openxmlformats.org/officeDocument/2006/relationships/hyperlink" Target="https://censusreporter.org/" TargetMode="External"/><Relationship Id="rId697" Type="http://schemas.openxmlformats.org/officeDocument/2006/relationships/hyperlink" Target="https://censusreporter.org/" TargetMode="External"/><Relationship Id="rId1044" Type="http://schemas.openxmlformats.org/officeDocument/2006/relationships/hyperlink" Target="https://censusreporter.org/" TargetMode="External"/><Relationship Id="rId212" Type="http://schemas.openxmlformats.org/officeDocument/2006/relationships/hyperlink" Target="https://censusreporter.org/" TargetMode="External"/><Relationship Id="rId454" Type="http://schemas.openxmlformats.org/officeDocument/2006/relationships/hyperlink" Target="https://censusreporter.org/" TargetMode="External"/><Relationship Id="rId696" Type="http://schemas.openxmlformats.org/officeDocument/2006/relationships/hyperlink" Target="https://censusreporter.org/" TargetMode="External"/><Relationship Id="rId1045" Type="http://schemas.openxmlformats.org/officeDocument/2006/relationships/hyperlink" Target="https://censusreporter.org/" TargetMode="External"/><Relationship Id="rId211" Type="http://schemas.openxmlformats.org/officeDocument/2006/relationships/hyperlink" Target="https://censusreporter.org/" TargetMode="External"/><Relationship Id="rId453" Type="http://schemas.openxmlformats.org/officeDocument/2006/relationships/hyperlink" Target="https://censusreporter.org/" TargetMode="External"/><Relationship Id="rId695" Type="http://schemas.openxmlformats.org/officeDocument/2006/relationships/hyperlink" Target="https://censusreporter.org/" TargetMode="External"/><Relationship Id="rId1046" Type="http://schemas.openxmlformats.org/officeDocument/2006/relationships/hyperlink" Target="https://censusreporter.org/" TargetMode="External"/><Relationship Id="rId210" Type="http://schemas.openxmlformats.org/officeDocument/2006/relationships/hyperlink" Target="https://censusreporter.org/" TargetMode="External"/><Relationship Id="rId452" Type="http://schemas.openxmlformats.org/officeDocument/2006/relationships/hyperlink" Target="https://censusreporter.org/" TargetMode="External"/><Relationship Id="rId694" Type="http://schemas.openxmlformats.org/officeDocument/2006/relationships/hyperlink" Target="https://censusreporter.org/" TargetMode="External"/><Relationship Id="rId1047" Type="http://schemas.openxmlformats.org/officeDocument/2006/relationships/hyperlink" Target="https://censusreporter.org/" TargetMode="External"/><Relationship Id="rId491" Type="http://schemas.openxmlformats.org/officeDocument/2006/relationships/hyperlink" Target="https://censusreporter.org/" TargetMode="External"/><Relationship Id="rId490" Type="http://schemas.openxmlformats.org/officeDocument/2006/relationships/hyperlink" Target="https://censusreporter.org/" TargetMode="External"/><Relationship Id="rId249" Type="http://schemas.openxmlformats.org/officeDocument/2006/relationships/hyperlink" Target="https://censusreporter.org/" TargetMode="External"/><Relationship Id="rId248" Type="http://schemas.openxmlformats.org/officeDocument/2006/relationships/hyperlink" Target="https://censusreporter.org/" TargetMode="External"/><Relationship Id="rId247" Type="http://schemas.openxmlformats.org/officeDocument/2006/relationships/hyperlink" Target="https://censusreporter.org/" TargetMode="External"/><Relationship Id="rId489" Type="http://schemas.openxmlformats.org/officeDocument/2006/relationships/hyperlink" Target="https://censusreporter.org/" TargetMode="External"/><Relationship Id="rId1070" Type="http://schemas.openxmlformats.org/officeDocument/2006/relationships/hyperlink" Target="https://censusreporter.org/" TargetMode="External"/><Relationship Id="rId1071" Type="http://schemas.openxmlformats.org/officeDocument/2006/relationships/hyperlink" Target="https://censusreporter.org/" TargetMode="External"/><Relationship Id="rId1072" Type="http://schemas.openxmlformats.org/officeDocument/2006/relationships/hyperlink" Target="https://censusreporter.org/" TargetMode="External"/><Relationship Id="rId242" Type="http://schemas.openxmlformats.org/officeDocument/2006/relationships/hyperlink" Target="https://censusreporter.org/" TargetMode="External"/><Relationship Id="rId484" Type="http://schemas.openxmlformats.org/officeDocument/2006/relationships/hyperlink" Target="https://censusreporter.org/" TargetMode="External"/><Relationship Id="rId1073" Type="http://schemas.openxmlformats.org/officeDocument/2006/relationships/hyperlink" Target="https://censusreporter.org/" TargetMode="External"/><Relationship Id="rId241" Type="http://schemas.openxmlformats.org/officeDocument/2006/relationships/hyperlink" Target="https://censusreporter.org/" TargetMode="External"/><Relationship Id="rId483" Type="http://schemas.openxmlformats.org/officeDocument/2006/relationships/hyperlink" Target="https://censusreporter.org/" TargetMode="External"/><Relationship Id="rId1074" Type="http://schemas.openxmlformats.org/officeDocument/2006/relationships/hyperlink" Target="https://censusreporter.org/" TargetMode="External"/><Relationship Id="rId240" Type="http://schemas.openxmlformats.org/officeDocument/2006/relationships/hyperlink" Target="https://censusreporter.org/" TargetMode="External"/><Relationship Id="rId482" Type="http://schemas.openxmlformats.org/officeDocument/2006/relationships/hyperlink" Target="https://censusreporter.org/" TargetMode="External"/><Relationship Id="rId1075" Type="http://schemas.openxmlformats.org/officeDocument/2006/relationships/hyperlink" Target="https://censusreporter.org/" TargetMode="External"/><Relationship Id="rId481" Type="http://schemas.openxmlformats.org/officeDocument/2006/relationships/hyperlink" Target="https://censusreporter.org/" TargetMode="External"/><Relationship Id="rId1076" Type="http://schemas.openxmlformats.org/officeDocument/2006/relationships/hyperlink" Target="https://censusreporter.org/" TargetMode="External"/><Relationship Id="rId246" Type="http://schemas.openxmlformats.org/officeDocument/2006/relationships/hyperlink" Target="https://censusreporter.org/" TargetMode="External"/><Relationship Id="rId488" Type="http://schemas.openxmlformats.org/officeDocument/2006/relationships/hyperlink" Target="https://censusreporter.org/" TargetMode="External"/><Relationship Id="rId1077" Type="http://schemas.openxmlformats.org/officeDocument/2006/relationships/hyperlink" Target="https://censusreporter.org/" TargetMode="External"/><Relationship Id="rId245" Type="http://schemas.openxmlformats.org/officeDocument/2006/relationships/hyperlink" Target="https://censusreporter.org/" TargetMode="External"/><Relationship Id="rId487" Type="http://schemas.openxmlformats.org/officeDocument/2006/relationships/hyperlink" Target="https://censusreporter.org/" TargetMode="External"/><Relationship Id="rId1078" Type="http://schemas.openxmlformats.org/officeDocument/2006/relationships/hyperlink" Target="https://censusreporter.org/" TargetMode="External"/><Relationship Id="rId244" Type="http://schemas.openxmlformats.org/officeDocument/2006/relationships/hyperlink" Target="https://censusreporter.org/" TargetMode="External"/><Relationship Id="rId486" Type="http://schemas.openxmlformats.org/officeDocument/2006/relationships/hyperlink" Target="https://censusreporter.org/" TargetMode="External"/><Relationship Id="rId1079" Type="http://schemas.openxmlformats.org/officeDocument/2006/relationships/hyperlink" Target="https://censusreporter.org/" TargetMode="External"/><Relationship Id="rId243" Type="http://schemas.openxmlformats.org/officeDocument/2006/relationships/hyperlink" Target="https://censusreporter.org/" TargetMode="External"/><Relationship Id="rId485" Type="http://schemas.openxmlformats.org/officeDocument/2006/relationships/hyperlink" Target="https://censusreporter.org/" TargetMode="External"/><Relationship Id="rId480" Type="http://schemas.openxmlformats.org/officeDocument/2006/relationships/hyperlink" Target="https://censusreporter.org/" TargetMode="External"/><Relationship Id="rId239" Type="http://schemas.openxmlformats.org/officeDocument/2006/relationships/hyperlink" Target="https://censusreporter.org/" TargetMode="External"/><Relationship Id="rId238" Type="http://schemas.openxmlformats.org/officeDocument/2006/relationships/hyperlink" Target="https://censusreporter.org/" TargetMode="External"/><Relationship Id="rId237" Type="http://schemas.openxmlformats.org/officeDocument/2006/relationships/hyperlink" Target="https://censusreporter.org/" TargetMode="External"/><Relationship Id="rId479" Type="http://schemas.openxmlformats.org/officeDocument/2006/relationships/hyperlink" Target="https://censusreporter.org/" TargetMode="External"/><Relationship Id="rId236" Type="http://schemas.openxmlformats.org/officeDocument/2006/relationships/hyperlink" Target="https://censusreporter.org/" TargetMode="External"/><Relationship Id="rId478" Type="http://schemas.openxmlformats.org/officeDocument/2006/relationships/hyperlink" Target="https://censusreporter.org/" TargetMode="External"/><Relationship Id="rId1060" Type="http://schemas.openxmlformats.org/officeDocument/2006/relationships/hyperlink" Target="https://censusreporter.org/" TargetMode="External"/><Relationship Id="rId1061" Type="http://schemas.openxmlformats.org/officeDocument/2006/relationships/hyperlink" Target="https://censusreporter.org/" TargetMode="External"/><Relationship Id="rId231" Type="http://schemas.openxmlformats.org/officeDocument/2006/relationships/hyperlink" Target="https://censusreporter.org/" TargetMode="External"/><Relationship Id="rId473" Type="http://schemas.openxmlformats.org/officeDocument/2006/relationships/hyperlink" Target="https://censusreporter.org/" TargetMode="External"/><Relationship Id="rId1062" Type="http://schemas.openxmlformats.org/officeDocument/2006/relationships/hyperlink" Target="https://censusreporter.org/" TargetMode="External"/><Relationship Id="rId230" Type="http://schemas.openxmlformats.org/officeDocument/2006/relationships/hyperlink" Target="https://censusreporter.org/" TargetMode="External"/><Relationship Id="rId472" Type="http://schemas.openxmlformats.org/officeDocument/2006/relationships/hyperlink" Target="https://censusreporter.org/" TargetMode="External"/><Relationship Id="rId1063" Type="http://schemas.openxmlformats.org/officeDocument/2006/relationships/hyperlink" Target="https://censusreporter.org/" TargetMode="External"/><Relationship Id="rId471" Type="http://schemas.openxmlformats.org/officeDocument/2006/relationships/hyperlink" Target="https://censusreporter.org/" TargetMode="External"/><Relationship Id="rId1064" Type="http://schemas.openxmlformats.org/officeDocument/2006/relationships/hyperlink" Target="https://censusreporter.org/" TargetMode="External"/><Relationship Id="rId470" Type="http://schemas.openxmlformats.org/officeDocument/2006/relationships/hyperlink" Target="https://censusreporter.org/" TargetMode="External"/><Relationship Id="rId1065" Type="http://schemas.openxmlformats.org/officeDocument/2006/relationships/hyperlink" Target="https://censusreporter.org/" TargetMode="External"/><Relationship Id="rId235" Type="http://schemas.openxmlformats.org/officeDocument/2006/relationships/hyperlink" Target="https://censusreporter.org/" TargetMode="External"/><Relationship Id="rId477" Type="http://schemas.openxmlformats.org/officeDocument/2006/relationships/hyperlink" Target="https://censusreporter.org/" TargetMode="External"/><Relationship Id="rId1066" Type="http://schemas.openxmlformats.org/officeDocument/2006/relationships/hyperlink" Target="https://censusreporter.org/" TargetMode="External"/><Relationship Id="rId234" Type="http://schemas.openxmlformats.org/officeDocument/2006/relationships/hyperlink" Target="https://censusreporter.org/" TargetMode="External"/><Relationship Id="rId476" Type="http://schemas.openxmlformats.org/officeDocument/2006/relationships/hyperlink" Target="https://censusreporter.org/" TargetMode="External"/><Relationship Id="rId1067" Type="http://schemas.openxmlformats.org/officeDocument/2006/relationships/hyperlink" Target="https://censusreporter.org/" TargetMode="External"/><Relationship Id="rId233" Type="http://schemas.openxmlformats.org/officeDocument/2006/relationships/hyperlink" Target="https://censusreporter.org/" TargetMode="External"/><Relationship Id="rId475" Type="http://schemas.openxmlformats.org/officeDocument/2006/relationships/hyperlink" Target="https://censusreporter.org/" TargetMode="External"/><Relationship Id="rId1068" Type="http://schemas.openxmlformats.org/officeDocument/2006/relationships/hyperlink" Target="https://censusreporter.org/" TargetMode="External"/><Relationship Id="rId232" Type="http://schemas.openxmlformats.org/officeDocument/2006/relationships/hyperlink" Target="https://censusreporter.org/" TargetMode="External"/><Relationship Id="rId474" Type="http://schemas.openxmlformats.org/officeDocument/2006/relationships/hyperlink" Target="https://censusreporter.org/" TargetMode="External"/><Relationship Id="rId1069" Type="http://schemas.openxmlformats.org/officeDocument/2006/relationships/hyperlink" Target="https://censusreporter.org/" TargetMode="External"/><Relationship Id="rId1015" Type="http://schemas.openxmlformats.org/officeDocument/2006/relationships/hyperlink" Target="https://censusreporter.org/" TargetMode="External"/><Relationship Id="rId1016" Type="http://schemas.openxmlformats.org/officeDocument/2006/relationships/hyperlink" Target="https://censusreporter.org/" TargetMode="External"/><Relationship Id="rId1017" Type="http://schemas.openxmlformats.org/officeDocument/2006/relationships/hyperlink" Target="https://censusreporter.org/" TargetMode="External"/><Relationship Id="rId1018" Type="http://schemas.openxmlformats.org/officeDocument/2006/relationships/hyperlink" Target="https://censusreporter.org/" TargetMode="External"/><Relationship Id="rId1019" Type="http://schemas.openxmlformats.org/officeDocument/2006/relationships/hyperlink" Target="https://censusreporter.org/" TargetMode="External"/><Relationship Id="rId426" Type="http://schemas.openxmlformats.org/officeDocument/2006/relationships/hyperlink" Target="https://censusreporter.org/" TargetMode="External"/><Relationship Id="rId668" Type="http://schemas.openxmlformats.org/officeDocument/2006/relationships/hyperlink" Target="https://censusreporter.org/" TargetMode="External"/><Relationship Id="rId425" Type="http://schemas.openxmlformats.org/officeDocument/2006/relationships/hyperlink" Target="https://censusreporter.org/" TargetMode="External"/><Relationship Id="rId667" Type="http://schemas.openxmlformats.org/officeDocument/2006/relationships/hyperlink" Target="https://censusreporter.org/" TargetMode="External"/><Relationship Id="rId424" Type="http://schemas.openxmlformats.org/officeDocument/2006/relationships/hyperlink" Target="https://censusreporter.org/" TargetMode="External"/><Relationship Id="rId666" Type="http://schemas.openxmlformats.org/officeDocument/2006/relationships/hyperlink" Target="https://censusreporter.org/" TargetMode="External"/><Relationship Id="rId423" Type="http://schemas.openxmlformats.org/officeDocument/2006/relationships/hyperlink" Target="https://censusreporter.org/" TargetMode="External"/><Relationship Id="rId665" Type="http://schemas.openxmlformats.org/officeDocument/2006/relationships/hyperlink" Target="https://censusreporter.org/" TargetMode="External"/><Relationship Id="rId429" Type="http://schemas.openxmlformats.org/officeDocument/2006/relationships/hyperlink" Target="https://censusreporter.org/" TargetMode="External"/><Relationship Id="rId428" Type="http://schemas.openxmlformats.org/officeDocument/2006/relationships/hyperlink" Target="https://censusreporter.org/" TargetMode="External"/><Relationship Id="rId427" Type="http://schemas.openxmlformats.org/officeDocument/2006/relationships/hyperlink" Target="https://censusreporter.org/" TargetMode="External"/><Relationship Id="rId669" Type="http://schemas.openxmlformats.org/officeDocument/2006/relationships/hyperlink" Target="https://censusreporter.org/" TargetMode="External"/><Relationship Id="rId660" Type="http://schemas.openxmlformats.org/officeDocument/2006/relationships/hyperlink" Target="https://censusreporter.org/" TargetMode="External"/><Relationship Id="rId1010" Type="http://schemas.openxmlformats.org/officeDocument/2006/relationships/hyperlink" Target="https://censusreporter.org/" TargetMode="External"/><Relationship Id="rId422" Type="http://schemas.openxmlformats.org/officeDocument/2006/relationships/hyperlink" Target="https://censusreporter.org/" TargetMode="External"/><Relationship Id="rId664" Type="http://schemas.openxmlformats.org/officeDocument/2006/relationships/hyperlink" Target="https://censusreporter.org/" TargetMode="External"/><Relationship Id="rId1011" Type="http://schemas.openxmlformats.org/officeDocument/2006/relationships/hyperlink" Target="https://censusreporter.org/" TargetMode="External"/><Relationship Id="rId421" Type="http://schemas.openxmlformats.org/officeDocument/2006/relationships/hyperlink" Target="https://censusreporter.org/" TargetMode="External"/><Relationship Id="rId663" Type="http://schemas.openxmlformats.org/officeDocument/2006/relationships/hyperlink" Target="https://censusreporter.org/" TargetMode="External"/><Relationship Id="rId1012" Type="http://schemas.openxmlformats.org/officeDocument/2006/relationships/hyperlink" Target="https://censusreporter.org/" TargetMode="External"/><Relationship Id="rId420" Type="http://schemas.openxmlformats.org/officeDocument/2006/relationships/hyperlink" Target="https://censusreporter.org/" TargetMode="External"/><Relationship Id="rId662" Type="http://schemas.openxmlformats.org/officeDocument/2006/relationships/hyperlink" Target="https://censusreporter.org/" TargetMode="External"/><Relationship Id="rId1013" Type="http://schemas.openxmlformats.org/officeDocument/2006/relationships/hyperlink" Target="https://censusreporter.org/" TargetMode="External"/><Relationship Id="rId661" Type="http://schemas.openxmlformats.org/officeDocument/2006/relationships/hyperlink" Target="https://censusreporter.org/" TargetMode="External"/><Relationship Id="rId1014" Type="http://schemas.openxmlformats.org/officeDocument/2006/relationships/hyperlink" Target="https://censusreporter.org/" TargetMode="External"/><Relationship Id="rId1004" Type="http://schemas.openxmlformats.org/officeDocument/2006/relationships/hyperlink" Target="https://censusreporter.org/" TargetMode="External"/><Relationship Id="rId1005" Type="http://schemas.openxmlformats.org/officeDocument/2006/relationships/hyperlink" Target="https://censusreporter.org/" TargetMode="External"/><Relationship Id="rId1006" Type="http://schemas.openxmlformats.org/officeDocument/2006/relationships/hyperlink" Target="https://censusreporter.org/" TargetMode="External"/><Relationship Id="rId1007" Type="http://schemas.openxmlformats.org/officeDocument/2006/relationships/hyperlink" Target="https://censusreporter.org/" TargetMode="External"/><Relationship Id="rId1008" Type="http://schemas.openxmlformats.org/officeDocument/2006/relationships/hyperlink" Target="https://censusreporter.org/" TargetMode="External"/><Relationship Id="rId1009" Type="http://schemas.openxmlformats.org/officeDocument/2006/relationships/hyperlink" Target="https://censusreporter.org/" TargetMode="External"/><Relationship Id="rId415" Type="http://schemas.openxmlformats.org/officeDocument/2006/relationships/hyperlink" Target="https://censusreporter.org/" TargetMode="External"/><Relationship Id="rId657" Type="http://schemas.openxmlformats.org/officeDocument/2006/relationships/hyperlink" Target="https://censusreporter.org/" TargetMode="External"/><Relationship Id="rId899" Type="http://schemas.openxmlformats.org/officeDocument/2006/relationships/hyperlink" Target="https://censusreporter.org/" TargetMode="External"/><Relationship Id="rId414" Type="http://schemas.openxmlformats.org/officeDocument/2006/relationships/hyperlink" Target="https://censusreporter.org/" TargetMode="External"/><Relationship Id="rId656" Type="http://schemas.openxmlformats.org/officeDocument/2006/relationships/hyperlink" Target="https://censusreporter.org/" TargetMode="External"/><Relationship Id="rId898" Type="http://schemas.openxmlformats.org/officeDocument/2006/relationships/hyperlink" Target="https://censusreporter.org/" TargetMode="External"/><Relationship Id="rId413" Type="http://schemas.openxmlformats.org/officeDocument/2006/relationships/hyperlink" Target="https://censusreporter.org/" TargetMode="External"/><Relationship Id="rId655" Type="http://schemas.openxmlformats.org/officeDocument/2006/relationships/hyperlink" Target="https://censusreporter.org/" TargetMode="External"/><Relationship Id="rId897" Type="http://schemas.openxmlformats.org/officeDocument/2006/relationships/hyperlink" Target="https://censusreporter.org/" TargetMode="External"/><Relationship Id="rId412" Type="http://schemas.openxmlformats.org/officeDocument/2006/relationships/hyperlink" Target="https://censusreporter.org/" TargetMode="External"/><Relationship Id="rId654" Type="http://schemas.openxmlformats.org/officeDocument/2006/relationships/hyperlink" Target="https://censusreporter.org/" TargetMode="External"/><Relationship Id="rId896" Type="http://schemas.openxmlformats.org/officeDocument/2006/relationships/hyperlink" Target="https://censusreporter.org/" TargetMode="External"/><Relationship Id="rId419" Type="http://schemas.openxmlformats.org/officeDocument/2006/relationships/hyperlink" Target="https://censusreporter.org/" TargetMode="External"/><Relationship Id="rId418" Type="http://schemas.openxmlformats.org/officeDocument/2006/relationships/hyperlink" Target="https://censusreporter.org/" TargetMode="External"/><Relationship Id="rId417" Type="http://schemas.openxmlformats.org/officeDocument/2006/relationships/hyperlink" Target="https://censusreporter.org/" TargetMode="External"/><Relationship Id="rId659" Type="http://schemas.openxmlformats.org/officeDocument/2006/relationships/hyperlink" Target="https://censusreporter.org/" TargetMode="External"/><Relationship Id="rId416" Type="http://schemas.openxmlformats.org/officeDocument/2006/relationships/hyperlink" Target="https://censusreporter.org/" TargetMode="External"/><Relationship Id="rId658" Type="http://schemas.openxmlformats.org/officeDocument/2006/relationships/hyperlink" Target="https://censusreporter.org/" TargetMode="External"/><Relationship Id="rId891" Type="http://schemas.openxmlformats.org/officeDocument/2006/relationships/hyperlink" Target="https://censusreporter.org/" TargetMode="External"/><Relationship Id="rId890" Type="http://schemas.openxmlformats.org/officeDocument/2006/relationships/hyperlink" Target="https://censusreporter.org/" TargetMode="External"/><Relationship Id="rId411" Type="http://schemas.openxmlformats.org/officeDocument/2006/relationships/hyperlink" Target="https://censusreporter.org/" TargetMode="External"/><Relationship Id="rId653" Type="http://schemas.openxmlformats.org/officeDocument/2006/relationships/hyperlink" Target="https://censusreporter.org/" TargetMode="External"/><Relationship Id="rId895" Type="http://schemas.openxmlformats.org/officeDocument/2006/relationships/hyperlink" Target="https://censusreporter.org/" TargetMode="External"/><Relationship Id="rId1000" Type="http://schemas.openxmlformats.org/officeDocument/2006/relationships/hyperlink" Target="https://censusreporter.org/" TargetMode="External"/><Relationship Id="rId410" Type="http://schemas.openxmlformats.org/officeDocument/2006/relationships/hyperlink" Target="https://censusreporter.org/" TargetMode="External"/><Relationship Id="rId652" Type="http://schemas.openxmlformats.org/officeDocument/2006/relationships/hyperlink" Target="https://censusreporter.org/" TargetMode="External"/><Relationship Id="rId894" Type="http://schemas.openxmlformats.org/officeDocument/2006/relationships/hyperlink" Target="https://censusreporter.org/" TargetMode="External"/><Relationship Id="rId1001" Type="http://schemas.openxmlformats.org/officeDocument/2006/relationships/hyperlink" Target="https://censusreporter.org/" TargetMode="External"/><Relationship Id="rId651" Type="http://schemas.openxmlformats.org/officeDocument/2006/relationships/hyperlink" Target="https://censusreporter.org/" TargetMode="External"/><Relationship Id="rId893" Type="http://schemas.openxmlformats.org/officeDocument/2006/relationships/hyperlink" Target="https://censusreporter.org/" TargetMode="External"/><Relationship Id="rId1002" Type="http://schemas.openxmlformats.org/officeDocument/2006/relationships/hyperlink" Target="https://censusreporter.org/" TargetMode="External"/><Relationship Id="rId650" Type="http://schemas.openxmlformats.org/officeDocument/2006/relationships/hyperlink" Target="https://censusreporter.org/" TargetMode="External"/><Relationship Id="rId892" Type="http://schemas.openxmlformats.org/officeDocument/2006/relationships/hyperlink" Target="https://censusreporter.org/" TargetMode="External"/><Relationship Id="rId1003" Type="http://schemas.openxmlformats.org/officeDocument/2006/relationships/hyperlink" Target="https://censusreporter.org/" TargetMode="External"/><Relationship Id="rId1037" Type="http://schemas.openxmlformats.org/officeDocument/2006/relationships/hyperlink" Target="https://censusreporter.org/" TargetMode="External"/><Relationship Id="rId1038" Type="http://schemas.openxmlformats.org/officeDocument/2006/relationships/hyperlink" Target="https://censusreporter.org/" TargetMode="External"/><Relationship Id="rId1039" Type="http://schemas.openxmlformats.org/officeDocument/2006/relationships/hyperlink" Target="https://censusreporter.org/" TargetMode="External"/><Relationship Id="rId206" Type="http://schemas.openxmlformats.org/officeDocument/2006/relationships/hyperlink" Target="https://censusreporter.org/" TargetMode="External"/><Relationship Id="rId448" Type="http://schemas.openxmlformats.org/officeDocument/2006/relationships/hyperlink" Target="https://censusreporter.org/" TargetMode="External"/><Relationship Id="rId205" Type="http://schemas.openxmlformats.org/officeDocument/2006/relationships/hyperlink" Target="https://censusreporter.org/" TargetMode="External"/><Relationship Id="rId447" Type="http://schemas.openxmlformats.org/officeDocument/2006/relationships/hyperlink" Target="https://censusreporter.org/" TargetMode="External"/><Relationship Id="rId689" Type="http://schemas.openxmlformats.org/officeDocument/2006/relationships/hyperlink" Target="https://censusreporter.org/" TargetMode="External"/><Relationship Id="rId204" Type="http://schemas.openxmlformats.org/officeDocument/2006/relationships/hyperlink" Target="https://censusreporter.org/" TargetMode="External"/><Relationship Id="rId446" Type="http://schemas.openxmlformats.org/officeDocument/2006/relationships/hyperlink" Target="https://censusreporter.org/" TargetMode="External"/><Relationship Id="rId688" Type="http://schemas.openxmlformats.org/officeDocument/2006/relationships/hyperlink" Target="https://censusreporter.org/" TargetMode="External"/><Relationship Id="rId203" Type="http://schemas.openxmlformats.org/officeDocument/2006/relationships/hyperlink" Target="https://censusreporter.org/" TargetMode="External"/><Relationship Id="rId445" Type="http://schemas.openxmlformats.org/officeDocument/2006/relationships/hyperlink" Target="https://censusreporter.org/" TargetMode="External"/><Relationship Id="rId687" Type="http://schemas.openxmlformats.org/officeDocument/2006/relationships/hyperlink" Target="https://censusreporter.org/" TargetMode="External"/><Relationship Id="rId209" Type="http://schemas.openxmlformats.org/officeDocument/2006/relationships/hyperlink" Target="https://censusreporter.org/" TargetMode="External"/><Relationship Id="rId208" Type="http://schemas.openxmlformats.org/officeDocument/2006/relationships/hyperlink" Target="https://censusreporter.org/" TargetMode="External"/><Relationship Id="rId207" Type="http://schemas.openxmlformats.org/officeDocument/2006/relationships/hyperlink" Target="https://censusreporter.org/" TargetMode="External"/><Relationship Id="rId449" Type="http://schemas.openxmlformats.org/officeDocument/2006/relationships/hyperlink" Target="https://censusreporter.org/" TargetMode="External"/><Relationship Id="rId440" Type="http://schemas.openxmlformats.org/officeDocument/2006/relationships/hyperlink" Target="https://censusreporter.org/" TargetMode="External"/><Relationship Id="rId682" Type="http://schemas.openxmlformats.org/officeDocument/2006/relationships/hyperlink" Target="https://censusreporter.org/" TargetMode="External"/><Relationship Id="rId681" Type="http://schemas.openxmlformats.org/officeDocument/2006/relationships/hyperlink" Target="https://censusreporter.org/" TargetMode="External"/><Relationship Id="rId1030" Type="http://schemas.openxmlformats.org/officeDocument/2006/relationships/hyperlink" Target="https://censusreporter.org/" TargetMode="External"/><Relationship Id="rId680" Type="http://schemas.openxmlformats.org/officeDocument/2006/relationships/hyperlink" Target="https://censusreporter.org/" TargetMode="External"/><Relationship Id="rId1031" Type="http://schemas.openxmlformats.org/officeDocument/2006/relationships/hyperlink" Target="https://censusreporter.org/" TargetMode="External"/><Relationship Id="rId1032" Type="http://schemas.openxmlformats.org/officeDocument/2006/relationships/hyperlink" Target="https://censusreporter.org/" TargetMode="External"/><Relationship Id="rId202" Type="http://schemas.openxmlformats.org/officeDocument/2006/relationships/hyperlink" Target="https://censusreporter.org/" TargetMode="External"/><Relationship Id="rId444" Type="http://schemas.openxmlformats.org/officeDocument/2006/relationships/hyperlink" Target="https://censusreporter.org/" TargetMode="External"/><Relationship Id="rId686" Type="http://schemas.openxmlformats.org/officeDocument/2006/relationships/hyperlink" Target="https://censusreporter.org/" TargetMode="External"/><Relationship Id="rId1033" Type="http://schemas.openxmlformats.org/officeDocument/2006/relationships/hyperlink" Target="https://censusreporter.org/" TargetMode="External"/><Relationship Id="rId201" Type="http://schemas.openxmlformats.org/officeDocument/2006/relationships/hyperlink" Target="https://censusreporter.org/" TargetMode="External"/><Relationship Id="rId443" Type="http://schemas.openxmlformats.org/officeDocument/2006/relationships/hyperlink" Target="https://censusreporter.org/" TargetMode="External"/><Relationship Id="rId685" Type="http://schemas.openxmlformats.org/officeDocument/2006/relationships/hyperlink" Target="https://censusreporter.org/" TargetMode="External"/><Relationship Id="rId1034" Type="http://schemas.openxmlformats.org/officeDocument/2006/relationships/hyperlink" Target="https://censusreporter.org/" TargetMode="External"/><Relationship Id="rId200" Type="http://schemas.openxmlformats.org/officeDocument/2006/relationships/hyperlink" Target="https://censusreporter.org/" TargetMode="External"/><Relationship Id="rId442" Type="http://schemas.openxmlformats.org/officeDocument/2006/relationships/hyperlink" Target="https://censusreporter.org/" TargetMode="External"/><Relationship Id="rId684" Type="http://schemas.openxmlformats.org/officeDocument/2006/relationships/hyperlink" Target="https://censusreporter.org/" TargetMode="External"/><Relationship Id="rId1035" Type="http://schemas.openxmlformats.org/officeDocument/2006/relationships/hyperlink" Target="https://censusreporter.org/" TargetMode="External"/><Relationship Id="rId441" Type="http://schemas.openxmlformats.org/officeDocument/2006/relationships/hyperlink" Target="https://censusreporter.org/" TargetMode="External"/><Relationship Id="rId683" Type="http://schemas.openxmlformats.org/officeDocument/2006/relationships/hyperlink" Target="https://censusreporter.org/" TargetMode="External"/><Relationship Id="rId1036" Type="http://schemas.openxmlformats.org/officeDocument/2006/relationships/hyperlink" Target="https://censusreporter.org/" TargetMode="External"/><Relationship Id="rId1026" Type="http://schemas.openxmlformats.org/officeDocument/2006/relationships/hyperlink" Target="https://censusreporter.org/" TargetMode="External"/><Relationship Id="rId1027" Type="http://schemas.openxmlformats.org/officeDocument/2006/relationships/hyperlink" Target="https://censusreporter.org/" TargetMode="External"/><Relationship Id="rId1028" Type="http://schemas.openxmlformats.org/officeDocument/2006/relationships/hyperlink" Target="https://censusreporter.org/" TargetMode="External"/><Relationship Id="rId1029" Type="http://schemas.openxmlformats.org/officeDocument/2006/relationships/hyperlink" Target="https://censusreporter.org/" TargetMode="External"/><Relationship Id="rId437" Type="http://schemas.openxmlformats.org/officeDocument/2006/relationships/hyperlink" Target="https://censusreporter.org/" TargetMode="External"/><Relationship Id="rId679" Type="http://schemas.openxmlformats.org/officeDocument/2006/relationships/hyperlink" Target="https://censusreporter.org/" TargetMode="External"/><Relationship Id="rId436" Type="http://schemas.openxmlformats.org/officeDocument/2006/relationships/hyperlink" Target="https://censusreporter.org/" TargetMode="External"/><Relationship Id="rId678" Type="http://schemas.openxmlformats.org/officeDocument/2006/relationships/hyperlink" Target="https://censusreporter.org/" TargetMode="External"/><Relationship Id="rId435" Type="http://schemas.openxmlformats.org/officeDocument/2006/relationships/hyperlink" Target="https://censusreporter.org/" TargetMode="External"/><Relationship Id="rId677" Type="http://schemas.openxmlformats.org/officeDocument/2006/relationships/hyperlink" Target="https://censusreporter.org/" TargetMode="External"/><Relationship Id="rId434" Type="http://schemas.openxmlformats.org/officeDocument/2006/relationships/hyperlink" Target="https://censusreporter.org/" TargetMode="External"/><Relationship Id="rId676" Type="http://schemas.openxmlformats.org/officeDocument/2006/relationships/hyperlink" Target="https://censusreporter.org/" TargetMode="External"/><Relationship Id="rId439" Type="http://schemas.openxmlformats.org/officeDocument/2006/relationships/hyperlink" Target="https://censusreporter.org/" TargetMode="External"/><Relationship Id="rId438" Type="http://schemas.openxmlformats.org/officeDocument/2006/relationships/hyperlink" Target="https://censusreporter.org/" TargetMode="External"/><Relationship Id="rId671" Type="http://schemas.openxmlformats.org/officeDocument/2006/relationships/hyperlink" Target="https://censusreporter.org/" TargetMode="External"/><Relationship Id="rId670" Type="http://schemas.openxmlformats.org/officeDocument/2006/relationships/hyperlink" Target="https://censusreporter.org/" TargetMode="External"/><Relationship Id="rId1020" Type="http://schemas.openxmlformats.org/officeDocument/2006/relationships/hyperlink" Target="https://censusreporter.org/" TargetMode="External"/><Relationship Id="rId1021" Type="http://schemas.openxmlformats.org/officeDocument/2006/relationships/hyperlink" Target="https://censusreporter.org/" TargetMode="External"/><Relationship Id="rId433" Type="http://schemas.openxmlformats.org/officeDocument/2006/relationships/hyperlink" Target="https://censusreporter.org/" TargetMode="External"/><Relationship Id="rId675" Type="http://schemas.openxmlformats.org/officeDocument/2006/relationships/hyperlink" Target="https://censusreporter.org/" TargetMode="External"/><Relationship Id="rId1022" Type="http://schemas.openxmlformats.org/officeDocument/2006/relationships/hyperlink" Target="https://censusreporter.org/" TargetMode="External"/><Relationship Id="rId432" Type="http://schemas.openxmlformats.org/officeDocument/2006/relationships/hyperlink" Target="https://censusreporter.org/" TargetMode="External"/><Relationship Id="rId674" Type="http://schemas.openxmlformats.org/officeDocument/2006/relationships/hyperlink" Target="https://censusreporter.org/" TargetMode="External"/><Relationship Id="rId1023" Type="http://schemas.openxmlformats.org/officeDocument/2006/relationships/hyperlink" Target="https://censusreporter.org/" TargetMode="External"/><Relationship Id="rId431" Type="http://schemas.openxmlformats.org/officeDocument/2006/relationships/hyperlink" Target="https://censusreporter.org/" TargetMode="External"/><Relationship Id="rId673" Type="http://schemas.openxmlformats.org/officeDocument/2006/relationships/hyperlink" Target="https://censusreporter.org/" TargetMode="External"/><Relationship Id="rId1024" Type="http://schemas.openxmlformats.org/officeDocument/2006/relationships/hyperlink" Target="https://censusreporter.org/" TargetMode="External"/><Relationship Id="rId430" Type="http://schemas.openxmlformats.org/officeDocument/2006/relationships/hyperlink" Target="https://censusreporter.org/" TargetMode="External"/><Relationship Id="rId672" Type="http://schemas.openxmlformats.org/officeDocument/2006/relationships/hyperlink" Target="https://censusreporter.org/" TargetMode="External"/><Relationship Id="rId1025" Type="http://schemas.openxmlformats.org/officeDocument/2006/relationships/hyperlink" Target="https://censusreport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25"/>
    <col customWidth="1" hidden="1" min="2" max="2" width="82.0"/>
    <col customWidth="1" min="3" max="3" width="11.5"/>
    <col customWidth="1" min="4" max="4" width="25.38"/>
    <col customWidth="1" min="5" max="5" width="41.25"/>
    <col customWidth="1" min="6" max="6" width="32.13"/>
    <col customWidth="1" min="7" max="7" width="15.38"/>
    <col customWidth="1" min="8" max="8" width="59.5"/>
    <col customWidth="1" min="9" max="10" width="17.5"/>
    <col customWidth="1" min="12" max="12" width="2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 t="str">
        <f>IFERROR(__xludf.DUMMYFUNCTION("REGEXREPLACE(E2, ""[^A-Za-z0-9]"", """")"),"MeansofTransportationtoWork")</f>
        <v>MeansofTransportationtoWork</v>
      </c>
      <c r="G2" s="4" t="s">
        <v>15</v>
      </c>
      <c r="H2" s="4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3" t="str">
        <f>IFERROR(__xludf.DUMMYFUNCTION("REGEXREPLACE(L2, ""[^A-Za-z0-9]"", """")"),"")</f>
        <v/>
      </c>
      <c r="N2" s="1" t="s">
        <v>15</v>
      </c>
      <c r="O2" s="1" t="str">
        <f t="shared" ref="O2:O1045" si="1">CONCATENATE(N2," = ",I2)</f>
        <v>TranstoWork = 'B08105A_001',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2" t="s">
        <v>10</v>
      </c>
      <c r="B3" s="1"/>
      <c r="C3" s="1" t="s">
        <v>12</v>
      </c>
      <c r="D3" s="1" t="s">
        <v>13</v>
      </c>
      <c r="E3" s="1" t="s">
        <v>14</v>
      </c>
      <c r="F3" s="3" t="str">
        <f>IFERROR(__xludf.DUMMYFUNCTION("REGEXREPLACE(E3, ""[^A-Za-z0-9]"", """")"),"MeansofTransportationtoWork")</f>
        <v>MeansofTransportationtoWork</v>
      </c>
      <c r="G3" s="4" t="s">
        <v>15</v>
      </c>
      <c r="H3" s="4" t="s">
        <v>21</v>
      </c>
      <c r="I3" s="1" t="s">
        <v>22</v>
      </c>
      <c r="J3" s="1" t="s">
        <v>23</v>
      </c>
      <c r="K3" s="1"/>
      <c r="L3" s="1" t="s">
        <v>24</v>
      </c>
      <c r="M3" s="3" t="str">
        <f>IFERROR(__xludf.DUMMYFUNCTION("REGEXREPLACE(L3, ""[^A-Za-z0-9]"", """")"),"Cartruckorvandrovealone")</f>
        <v>Cartruckorvandrovealone</v>
      </c>
      <c r="N3" s="1" t="s">
        <v>25</v>
      </c>
      <c r="O3" s="1" t="str">
        <f t="shared" si="1"/>
        <v>TranstoWorkCartruckorvandrovealone = 'B08105A_002',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2" t="s">
        <v>10</v>
      </c>
      <c r="B4" s="1"/>
      <c r="C4" s="1" t="s">
        <v>12</v>
      </c>
      <c r="D4" s="1" t="s">
        <v>13</v>
      </c>
      <c r="E4" s="1" t="s">
        <v>14</v>
      </c>
      <c r="F4" s="3" t="str">
        <f>IFERROR(__xludf.DUMMYFUNCTION("REGEXREPLACE(E4, ""[^A-Za-z0-9]"", """")"),"MeansofTransportationtoWork")</f>
        <v>MeansofTransportationtoWork</v>
      </c>
      <c r="G4" s="4" t="s">
        <v>15</v>
      </c>
      <c r="H4" s="5" t="s">
        <v>26</v>
      </c>
      <c r="I4" s="1" t="s">
        <v>27</v>
      </c>
      <c r="J4" s="1" t="s">
        <v>28</v>
      </c>
      <c r="K4" s="1"/>
      <c r="L4" s="1" t="s">
        <v>29</v>
      </c>
      <c r="M4" s="3" t="str">
        <f>IFERROR(__xludf.DUMMYFUNCTION("REGEXREPLACE(L4, ""[^A-Za-z0-9]"", """")"),"Cartruckorvancarpooled")</f>
        <v>Cartruckorvancarpooled</v>
      </c>
      <c r="N4" s="1" t="s">
        <v>30</v>
      </c>
      <c r="O4" s="1" t="str">
        <f t="shared" si="1"/>
        <v>TranstoWorkCartruckorvancarpooled = 'B08105A_003',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2" t="s">
        <v>10</v>
      </c>
      <c r="B5" s="1"/>
      <c r="C5" s="1" t="s">
        <v>12</v>
      </c>
      <c r="D5" s="1" t="s">
        <v>13</v>
      </c>
      <c r="E5" s="1" t="s">
        <v>14</v>
      </c>
      <c r="F5" s="3" t="str">
        <f>IFERROR(__xludf.DUMMYFUNCTION("REGEXREPLACE(E5, ""[^A-Za-z0-9]"", """")"),"MeansofTransportationtoWork")</f>
        <v>MeansofTransportationtoWork</v>
      </c>
      <c r="G5" s="4" t="s">
        <v>15</v>
      </c>
      <c r="H5" s="4" t="s">
        <v>31</v>
      </c>
      <c r="I5" s="1" t="s">
        <v>32</v>
      </c>
      <c r="J5" s="1" t="s">
        <v>33</v>
      </c>
      <c r="K5" s="1"/>
      <c r="L5" s="1" t="s">
        <v>34</v>
      </c>
      <c r="M5" s="3" t="str">
        <f>IFERROR(__xludf.DUMMYFUNCTION("REGEXREPLACE(L5, ""[^A-Za-z0-9]"", """")"),"Publictransportationexcludingtaxicab")</f>
        <v>Publictransportationexcludingtaxicab</v>
      </c>
      <c r="N5" s="1" t="s">
        <v>35</v>
      </c>
      <c r="O5" s="1" t="str">
        <f t="shared" si="1"/>
        <v>TranstoWorkPublictransportationexcludingtaxicab = 'B08105A_004',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2" t="s">
        <v>10</v>
      </c>
      <c r="B6" s="1"/>
      <c r="C6" s="1" t="s">
        <v>12</v>
      </c>
      <c r="D6" s="1" t="s">
        <v>13</v>
      </c>
      <c r="E6" s="1" t="s">
        <v>14</v>
      </c>
      <c r="F6" s="3" t="str">
        <f>IFERROR(__xludf.DUMMYFUNCTION("REGEXREPLACE(E6, ""[^A-Za-z0-9]"", """")"),"MeansofTransportationtoWork")</f>
        <v>MeansofTransportationtoWork</v>
      </c>
      <c r="G6" s="4" t="s">
        <v>15</v>
      </c>
      <c r="H6" s="5" t="s">
        <v>36</v>
      </c>
      <c r="I6" s="1" t="s">
        <v>37</v>
      </c>
      <c r="J6" s="1" t="s">
        <v>38</v>
      </c>
      <c r="K6" s="1"/>
      <c r="L6" s="1" t="s">
        <v>39</v>
      </c>
      <c r="M6" s="3" t="str">
        <f>IFERROR(__xludf.DUMMYFUNCTION("REGEXREPLACE(L6, ""[^A-Za-z0-9]"", """")"),"Walked")</f>
        <v>Walked</v>
      </c>
      <c r="N6" s="1" t="s">
        <v>40</v>
      </c>
      <c r="O6" s="1" t="str">
        <f t="shared" si="1"/>
        <v>TranstoWorkWalked = 'B08105A_005',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2" t="s">
        <v>10</v>
      </c>
      <c r="B7" s="1"/>
      <c r="C7" s="1" t="s">
        <v>12</v>
      </c>
      <c r="D7" s="1" t="s">
        <v>13</v>
      </c>
      <c r="E7" s="1" t="s">
        <v>14</v>
      </c>
      <c r="F7" s="3" t="str">
        <f>IFERROR(__xludf.DUMMYFUNCTION("REGEXREPLACE(E7, ""[^A-Za-z0-9]"", """")"),"MeansofTransportationtoWork")</f>
        <v>MeansofTransportationtoWork</v>
      </c>
      <c r="G7" s="4" t="s">
        <v>15</v>
      </c>
      <c r="H7" s="4" t="s">
        <v>41</v>
      </c>
      <c r="I7" s="1" t="s">
        <v>42</v>
      </c>
      <c r="J7" s="1" t="s">
        <v>43</v>
      </c>
      <c r="K7" s="1"/>
      <c r="L7" s="1" t="s">
        <v>44</v>
      </c>
      <c r="M7" s="3" t="str">
        <f>IFERROR(__xludf.DUMMYFUNCTION("REGEXREPLACE(L7, ""[^A-Za-z0-9]"", """")"),"Taxicabmotorcyclebicycleorothermeans")</f>
        <v>Taxicabmotorcyclebicycleorothermeans</v>
      </c>
      <c r="N7" s="1" t="s">
        <v>45</v>
      </c>
      <c r="O7" s="1" t="str">
        <f t="shared" si="1"/>
        <v>TranstoWorkTaxicabmotorcyclebicycleorothermeans = 'B08105A_006',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2" t="s">
        <v>10</v>
      </c>
      <c r="B8" s="1"/>
      <c r="C8" s="1" t="s">
        <v>12</v>
      </c>
      <c r="D8" s="1" t="s">
        <v>13</v>
      </c>
      <c r="E8" s="1" t="s">
        <v>14</v>
      </c>
      <c r="F8" s="3" t="str">
        <f>IFERROR(__xludf.DUMMYFUNCTION("REGEXREPLACE(E8, ""[^A-Za-z0-9]"", """")"),"MeansofTransportationtoWork")</f>
        <v>MeansofTransportationtoWork</v>
      </c>
      <c r="G8" s="4" t="s">
        <v>15</v>
      </c>
      <c r="H8" s="5" t="s">
        <v>46</v>
      </c>
      <c r="I8" s="1" t="s">
        <v>47</v>
      </c>
      <c r="J8" s="1" t="s">
        <v>48</v>
      </c>
      <c r="K8" s="1"/>
      <c r="L8" s="1" t="s">
        <v>49</v>
      </c>
      <c r="M8" s="3" t="str">
        <f>IFERROR(__xludf.DUMMYFUNCTION("REGEXREPLACE(L8, ""[^A-Za-z0-9]"", """")"),"Workedfromhome")</f>
        <v>Workedfromhome</v>
      </c>
      <c r="N8" s="1" t="s">
        <v>50</v>
      </c>
      <c r="O8" s="1" t="str">
        <f t="shared" si="1"/>
        <v>TranstoWorkWorkedfromhome = 'B08105A_007',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2" t="s">
        <v>10</v>
      </c>
      <c r="B9" s="1" t="s">
        <v>51</v>
      </c>
      <c r="C9" s="1" t="s">
        <v>12</v>
      </c>
      <c r="D9" s="1" t="s">
        <v>13</v>
      </c>
      <c r="E9" s="5" t="s">
        <v>52</v>
      </c>
      <c r="F9" s="3" t="str">
        <f>IFERROR(__xludf.DUMMYFUNCTION("REGEXREPLACE(E9, ""[^A-Za-z0-9]"", """")"),"MeansofTransportationtoWorkbyAge")</f>
        <v>MeansofTransportationtoWorkbyAge</v>
      </c>
      <c r="G9" s="4" t="s">
        <v>15</v>
      </c>
      <c r="H9" s="4" t="s">
        <v>16</v>
      </c>
      <c r="I9" s="1" t="s">
        <v>53</v>
      </c>
      <c r="J9" s="1" t="s">
        <v>54</v>
      </c>
      <c r="K9" s="1"/>
      <c r="L9" s="1" t="s">
        <v>20</v>
      </c>
      <c r="M9" s="3" t="str">
        <f>IFERROR(__xludf.DUMMYFUNCTION("REGEXREPLACE(L9, ""[^A-Za-z0-9]"", """")"),"")</f>
        <v/>
      </c>
      <c r="N9" s="1" t="s">
        <v>15</v>
      </c>
      <c r="O9" s="1" t="str">
        <f t="shared" si="1"/>
        <v>TranstoWork = 'B08101_001',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2" t="s">
        <v>10</v>
      </c>
      <c r="B10" s="6"/>
      <c r="C10" s="1" t="s">
        <v>12</v>
      </c>
      <c r="D10" s="1" t="s">
        <v>13</v>
      </c>
      <c r="E10" s="5" t="s">
        <v>52</v>
      </c>
      <c r="F10" s="3" t="str">
        <f>IFERROR(__xludf.DUMMYFUNCTION("REGEXREPLACE(E10, ""[^A-Za-z0-9]"", """")"),"MeansofTransportationtoWorkbyAge")</f>
        <v>MeansofTransportationtoWorkbyAge</v>
      </c>
      <c r="G10" s="4" t="s">
        <v>15</v>
      </c>
      <c r="H10" s="7" t="s">
        <v>55</v>
      </c>
      <c r="I10" s="1" t="s">
        <v>56</v>
      </c>
      <c r="J10" s="1" t="s">
        <v>57</v>
      </c>
      <c r="K10" s="1"/>
      <c r="L10" s="1" t="s">
        <v>58</v>
      </c>
      <c r="M10" s="3" t="str">
        <f>IFERROR(__xludf.DUMMYFUNCTION("REGEXREPLACE(L10, ""[^A-Za-z0-9]"", """")"),"16to19years")</f>
        <v>16to19years</v>
      </c>
      <c r="N10" s="1" t="s">
        <v>59</v>
      </c>
      <c r="O10" s="1" t="str">
        <f t="shared" si="1"/>
        <v>TranstoWork16to19years = 'B08101_002',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2" t="s">
        <v>10</v>
      </c>
      <c r="B11" s="6"/>
      <c r="C11" s="1" t="s">
        <v>12</v>
      </c>
      <c r="D11" s="1" t="s">
        <v>13</v>
      </c>
      <c r="E11" s="5" t="s">
        <v>52</v>
      </c>
      <c r="F11" s="3" t="str">
        <f>IFERROR(__xludf.DUMMYFUNCTION("REGEXREPLACE(E11, ""[^A-Za-z0-9]"", """")"),"MeansofTransportationtoWorkbyAge")</f>
        <v>MeansofTransportationtoWorkbyAge</v>
      </c>
      <c r="G11" s="4" t="s">
        <v>15</v>
      </c>
      <c r="H11" s="7" t="s">
        <v>60</v>
      </c>
      <c r="I11" s="1" t="s">
        <v>61</v>
      </c>
      <c r="J11" s="1" t="s">
        <v>62</v>
      </c>
      <c r="K11" s="1"/>
      <c r="L11" s="1" t="s">
        <v>63</v>
      </c>
      <c r="M11" s="3" t="str">
        <f>IFERROR(__xludf.DUMMYFUNCTION("REGEXREPLACE(L11, ""[^A-Za-z0-9]"", """")"),"20to24years")</f>
        <v>20to24years</v>
      </c>
      <c r="N11" s="1" t="s">
        <v>64</v>
      </c>
      <c r="O11" s="1" t="str">
        <f t="shared" si="1"/>
        <v>TranstoWork20to24years = 'B08101_003',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2" t="s">
        <v>10</v>
      </c>
      <c r="B12" s="6"/>
      <c r="C12" s="1" t="s">
        <v>12</v>
      </c>
      <c r="D12" s="1" t="s">
        <v>13</v>
      </c>
      <c r="E12" s="5" t="s">
        <v>52</v>
      </c>
      <c r="F12" s="3" t="str">
        <f>IFERROR(__xludf.DUMMYFUNCTION("REGEXREPLACE(E12, ""[^A-Za-z0-9]"", """")"),"MeansofTransportationtoWorkbyAge")</f>
        <v>MeansofTransportationtoWorkbyAge</v>
      </c>
      <c r="G12" s="4" t="s">
        <v>15</v>
      </c>
      <c r="H12" s="7" t="s">
        <v>65</v>
      </c>
      <c r="I12" s="1" t="s">
        <v>66</v>
      </c>
      <c r="J12" s="1" t="s">
        <v>67</v>
      </c>
      <c r="K12" s="1"/>
      <c r="L12" s="1" t="s">
        <v>68</v>
      </c>
      <c r="M12" s="3" t="str">
        <f>IFERROR(__xludf.DUMMYFUNCTION("REGEXREPLACE(L12, ""[^A-Za-z0-9]"", """")"),"25to44years")</f>
        <v>25to44years</v>
      </c>
      <c r="N12" s="1" t="s">
        <v>69</v>
      </c>
      <c r="O12" s="1" t="str">
        <f t="shared" si="1"/>
        <v>TranstoWork25to44years = 'B08101_004',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2" t="s">
        <v>10</v>
      </c>
      <c r="B13" s="6"/>
      <c r="C13" s="1" t="s">
        <v>12</v>
      </c>
      <c r="D13" s="1" t="s">
        <v>13</v>
      </c>
      <c r="E13" s="5" t="s">
        <v>52</v>
      </c>
      <c r="F13" s="3" t="str">
        <f>IFERROR(__xludf.DUMMYFUNCTION("REGEXREPLACE(E13, ""[^A-Za-z0-9]"", """")"),"MeansofTransportationtoWorkbyAge")</f>
        <v>MeansofTransportationtoWorkbyAge</v>
      </c>
      <c r="G13" s="4" t="s">
        <v>15</v>
      </c>
      <c r="H13" s="7" t="s">
        <v>70</v>
      </c>
      <c r="I13" s="1" t="s">
        <v>71</v>
      </c>
      <c r="J13" s="1" t="s">
        <v>72</v>
      </c>
      <c r="K13" s="1"/>
      <c r="L13" s="1" t="s">
        <v>73</v>
      </c>
      <c r="M13" s="3" t="str">
        <f>IFERROR(__xludf.DUMMYFUNCTION("REGEXREPLACE(L13, ""[^A-Za-z0-9]"", """")"),"45to54years")</f>
        <v>45to54years</v>
      </c>
      <c r="N13" s="1" t="s">
        <v>74</v>
      </c>
      <c r="O13" s="1" t="str">
        <f t="shared" si="1"/>
        <v>TranstoWork45to54years = 'B08101_005',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2" t="s">
        <v>10</v>
      </c>
      <c r="B14" s="6"/>
      <c r="C14" s="1" t="s">
        <v>12</v>
      </c>
      <c r="D14" s="1" t="s">
        <v>13</v>
      </c>
      <c r="E14" s="5" t="s">
        <v>52</v>
      </c>
      <c r="F14" s="3" t="str">
        <f>IFERROR(__xludf.DUMMYFUNCTION("REGEXREPLACE(E14, ""[^A-Za-z0-9]"", """")"),"MeansofTransportationtoWorkbyAge")</f>
        <v>MeansofTransportationtoWorkbyAge</v>
      </c>
      <c r="G14" s="4" t="s">
        <v>15</v>
      </c>
      <c r="H14" s="7" t="s">
        <v>75</v>
      </c>
      <c r="I14" s="1" t="s">
        <v>76</v>
      </c>
      <c r="J14" s="1" t="s">
        <v>77</v>
      </c>
      <c r="K14" s="1"/>
      <c r="L14" s="1" t="s">
        <v>78</v>
      </c>
      <c r="M14" s="3" t="str">
        <f>IFERROR(__xludf.DUMMYFUNCTION("REGEXREPLACE(L14, ""[^A-Za-z0-9]"", """")"),"55to59years")</f>
        <v>55to59years</v>
      </c>
      <c r="N14" s="1" t="s">
        <v>79</v>
      </c>
      <c r="O14" s="1" t="str">
        <f t="shared" si="1"/>
        <v>TranstoWork55to59years = 'B08101_006',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2" t="s">
        <v>10</v>
      </c>
      <c r="B15" s="6"/>
      <c r="C15" s="1" t="s">
        <v>12</v>
      </c>
      <c r="D15" s="1" t="s">
        <v>13</v>
      </c>
      <c r="E15" s="5" t="s">
        <v>52</v>
      </c>
      <c r="F15" s="3" t="str">
        <f>IFERROR(__xludf.DUMMYFUNCTION("REGEXREPLACE(E15, ""[^A-Za-z0-9]"", """")"),"MeansofTransportationtoWorkbyAge")</f>
        <v>MeansofTransportationtoWorkbyAge</v>
      </c>
      <c r="G15" s="4" t="s">
        <v>15</v>
      </c>
      <c r="H15" s="7" t="s">
        <v>80</v>
      </c>
      <c r="I15" s="1" t="s">
        <v>81</v>
      </c>
      <c r="J15" s="1" t="s">
        <v>82</v>
      </c>
      <c r="K15" s="1"/>
      <c r="L15" s="1" t="s">
        <v>83</v>
      </c>
      <c r="M15" s="3" t="str">
        <f>IFERROR(__xludf.DUMMYFUNCTION("REGEXREPLACE(L15, ""[^A-Za-z0-9]"", """")"),"60to64years")</f>
        <v>60to64years</v>
      </c>
      <c r="N15" s="1" t="s">
        <v>84</v>
      </c>
      <c r="O15" s="1" t="str">
        <f t="shared" si="1"/>
        <v>TranstoWork60to64years = 'B08101_007',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2" t="s">
        <v>10</v>
      </c>
      <c r="B16" s="6"/>
      <c r="C16" s="1" t="s">
        <v>12</v>
      </c>
      <c r="D16" s="1" t="s">
        <v>13</v>
      </c>
      <c r="E16" s="5" t="s">
        <v>52</v>
      </c>
      <c r="F16" s="3" t="str">
        <f>IFERROR(__xludf.DUMMYFUNCTION("REGEXREPLACE(E16, ""[^A-Za-z0-9]"", """")"),"MeansofTransportationtoWorkbyAge")</f>
        <v>MeansofTransportationtoWorkbyAge</v>
      </c>
      <c r="G16" s="4" t="s">
        <v>15</v>
      </c>
      <c r="H16" s="7" t="s">
        <v>85</v>
      </c>
      <c r="I16" s="1" t="s">
        <v>86</v>
      </c>
      <c r="J16" s="1" t="s">
        <v>87</v>
      </c>
      <c r="K16" s="1"/>
      <c r="L16" s="1" t="s">
        <v>88</v>
      </c>
      <c r="M16" s="3" t="str">
        <f>IFERROR(__xludf.DUMMYFUNCTION("REGEXREPLACE(L16, ""[^A-Za-z0-9]"", """")"),"65yearsandover")</f>
        <v>65yearsandover</v>
      </c>
      <c r="N16" s="1" t="s">
        <v>89</v>
      </c>
      <c r="O16" s="1" t="str">
        <f t="shared" si="1"/>
        <v>TranstoWork65yearsandover = 'B08101_008',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2" t="s">
        <v>10</v>
      </c>
      <c r="B17" s="6"/>
      <c r="C17" s="1" t="s">
        <v>12</v>
      </c>
      <c r="D17" s="1" t="s">
        <v>13</v>
      </c>
      <c r="E17" s="5" t="s">
        <v>52</v>
      </c>
      <c r="F17" s="3" t="str">
        <f>IFERROR(__xludf.DUMMYFUNCTION("REGEXREPLACE(E17, ""[^A-Za-z0-9]"", """")"),"MeansofTransportationtoWorkbyAge")</f>
        <v>MeansofTransportationtoWorkbyAge</v>
      </c>
      <c r="G17" s="4" t="s">
        <v>15</v>
      </c>
      <c r="H17" s="7" t="s">
        <v>90</v>
      </c>
      <c r="I17" s="1" t="s">
        <v>91</v>
      </c>
      <c r="J17" s="1" t="s">
        <v>92</v>
      </c>
      <c r="K17" s="1"/>
      <c r="L17" s="1" t="s">
        <v>93</v>
      </c>
      <c r="M17" s="3" t="str">
        <f>IFERROR(__xludf.DUMMYFUNCTION("REGEXREPLACE(L17, ""[^A-Za-z0-9]"", """")"),"Cartruckorvandrovealone")</f>
        <v>Cartruckorvandrovealone</v>
      </c>
      <c r="N17" s="1" t="s">
        <v>25</v>
      </c>
      <c r="O17" s="1" t="str">
        <f t="shared" si="1"/>
        <v>TranstoWorkCartruckorvandrovealone = 'B08101_009',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2" t="s">
        <v>10</v>
      </c>
      <c r="B18" s="6"/>
      <c r="C18" s="1" t="s">
        <v>12</v>
      </c>
      <c r="D18" s="1" t="s">
        <v>13</v>
      </c>
      <c r="E18" s="5" t="s">
        <v>52</v>
      </c>
      <c r="F18" s="3" t="str">
        <f>IFERROR(__xludf.DUMMYFUNCTION("REGEXREPLACE(E18, ""[^A-Za-z0-9]"", """")"),"MeansofTransportationtoWorkbyAge")</f>
        <v>MeansofTransportationtoWorkbyAge</v>
      </c>
      <c r="G18" s="4" t="s">
        <v>15</v>
      </c>
      <c r="H18" s="7" t="s">
        <v>94</v>
      </c>
      <c r="I18" s="1" t="s">
        <v>95</v>
      </c>
      <c r="J18" s="1" t="s">
        <v>96</v>
      </c>
      <c r="K18" s="1"/>
      <c r="L18" s="1" t="s">
        <v>97</v>
      </c>
      <c r="M18" s="3" t="str">
        <f>IFERROR(__xludf.DUMMYFUNCTION("REGEXREPLACE(L18, ""[^A-Za-z0-9]"", """")"),"Cartruckorvandrovealone16to19years")</f>
        <v>Cartruckorvandrovealone16to19years</v>
      </c>
      <c r="N18" s="1" t="s">
        <v>98</v>
      </c>
      <c r="O18" s="1" t="str">
        <f t="shared" si="1"/>
        <v>TranstoWorkCartruckorvandrovealone16to19years = 'B08101_010',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2" t="s">
        <v>10</v>
      </c>
      <c r="B19" s="6"/>
      <c r="C19" s="1" t="s">
        <v>12</v>
      </c>
      <c r="D19" s="1" t="s">
        <v>13</v>
      </c>
      <c r="E19" s="5" t="s">
        <v>52</v>
      </c>
      <c r="F19" s="3" t="str">
        <f>IFERROR(__xludf.DUMMYFUNCTION("REGEXREPLACE(E19, ""[^A-Za-z0-9]"", """")"),"MeansofTransportationtoWorkbyAge")</f>
        <v>MeansofTransportationtoWorkbyAge</v>
      </c>
      <c r="G19" s="4" t="s">
        <v>15</v>
      </c>
      <c r="H19" s="7" t="s">
        <v>99</v>
      </c>
      <c r="I19" s="1" t="s">
        <v>100</v>
      </c>
      <c r="J19" s="1" t="s">
        <v>101</v>
      </c>
      <c r="K19" s="1"/>
      <c r="L19" s="1" t="s">
        <v>102</v>
      </c>
      <c r="M19" s="3" t="str">
        <f>IFERROR(__xludf.DUMMYFUNCTION("REGEXREPLACE(L19, ""[^A-Za-z0-9]"", """")"),"Cartruckorvandrovealone20to24years")</f>
        <v>Cartruckorvandrovealone20to24years</v>
      </c>
      <c r="N19" s="1" t="s">
        <v>103</v>
      </c>
      <c r="O19" s="1" t="str">
        <f t="shared" si="1"/>
        <v>TranstoWorkCartruckorvandrovealone20to24years = 'B08101_011',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2" t="s">
        <v>10</v>
      </c>
      <c r="B20" s="6"/>
      <c r="C20" s="1" t="s">
        <v>12</v>
      </c>
      <c r="D20" s="1" t="s">
        <v>13</v>
      </c>
      <c r="E20" s="5" t="s">
        <v>52</v>
      </c>
      <c r="F20" s="3" t="str">
        <f>IFERROR(__xludf.DUMMYFUNCTION("REGEXREPLACE(E20, ""[^A-Za-z0-9]"", """")"),"MeansofTransportationtoWorkbyAge")</f>
        <v>MeansofTransportationtoWorkbyAge</v>
      </c>
      <c r="G20" s="4" t="s">
        <v>15</v>
      </c>
      <c r="H20" s="7" t="s">
        <v>104</v>
      </c>
      <c r="I20" s="1" t="s">
        <v>105</v>
      </c>
      <c r="J20" s="1" t="s">
        <v>106</v>
      </c>
      <c r="K20" s="1"/>
      <c r="L20" s="1" t="s">
        <v>107</v>
      </c>
      <c r="M20" s="3" t="str">
        <f>IFERROR(__xludf.DUMMYFUNCTION("REGEXREPLACE(L20, ""[^A-Za-z0-9]"", """")"),"Cartruckorvandrovealone25to44years")</f>
        <v>Cartruckorvandrovealone25to44years</v>
      </c>
      <c r="N20" s="1" t="s">
        <v>108</v>
      </c>
      <c r="O20" s="1" t="str">
        <f t="shared" si="1"/>
        <v>TranstoWorkCartruckorvandrovealone25to44years = 'B08101_012',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2" t="s">
        <v>10</v>
      </c>
      <c r="B21" s="6"/>
      <c r="C21" s="1" t="s">
        <v>12</v>
      </c>
      <c r="D21" s="1" t="s">
        <v>13</v>
      </c>
      <c r="E21" s="5" t="s">
        <v>52</v>
      </c>
      <c r="F21" s="3" t="str">
        <f>IFERROR(__xludf.DUMMYFUNCTION("REGEXREPLACE(E21, ""[^A-Za-z0-9]"", """")"),"MeansofTransportationtoWorkbyAge")</f>
        <v>MeansofTransportationtoWorkbyAge</v>
      </c>
      <c r="G21" s="4" t="s">
        <v>15</v>
      </c>
      <c r="H21" s="7" t="s">
        <v>109</v>
      </c>
      <c r="I21" s="1" t="s">
        <v>110</v>
      </c>
      <c r="J21" s="1" t="s">
        <v>111</v>
      </c>
      <c r="K21" s="1"/>
      <c r="L21" s="1" t="s">
        <v>112</v>
      </c>
      <c r="M21" s="3" t="str">
        <f>IFERROR(__xludf.DUMMYFUNCTION("REGEXREPLACE(L21, ""[^A-Za-z0-9]"", """")"),"Cartruckorvandrovealone45to54years")</f>
        <v>Cartruckorvandrovealone45to54years</v>
      </c>
      <c r="N21" s="1" t="s">
        <v>113</v>
      </c>
      <c r="O21" s="1" t="str">
        <f t="shared" si="1"/>
        <v>TranstoWorkCartruckorvandrovealone45to54years = 'B08101_013',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2" t="s">
        <v>10</v>
      </c>
      <c r="B22" s="6"/>
      <c r="C22" s="1" t="s">
        <v>12</v>
      </c>
      <c r="D22" s="1" t="s">
        <v>13</v>
      </c>
      <c r="E22" s="5" t="s">
        <v>52</v>
      </c>
      <c r="F22" s="3" t="str">
        <f>IFERROR(__xludf.DUMMYFUNCTION("REGEXREPLACE(E22, ""[^A-Za-z0-9]"", """")"),"MeansofTransportationtoWorkbyAge")</f>
        <v>MeansofTransportationtoWorkbyAge</v>
      </c>
      <c r="G22" s="4" t="s">
        <v>15</v>
      </c>
      <c r="H22" s="7" t="s">
        <v>114</v>
      </c>
      <c r="I22" s="1" t="s">
        <v>115</v>
      </c>
      <c r="J22" s="1" t="s">
        <v>116</v>
      </c>
      <c r="K22" s="1"/>
      <c r="L22" s="1" t="s">
        <v>117</v>
      </c>
      <c r="M22" s="3" t="str">
        <f>IFERROR(__xludf.DUMMYFUNCTION("REGEXREPLACE(L22, ""[^A-Za-z0-9]"", """")"),"Cartruckorvandrovealone55to59years")</f>
        <v>Cartruckorvandrovealone55to59years</v>
      </c>
      <c r="N22" s="1" t="s">
        <v>118</v>
      </c>
      <c r="O22" s="1" t="str">
        <f t="shared" si="1"/>
        <v>TranstoWorkCartruckorvandrovealone55to59years = 'B08101_014',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2" t="s">
        <v>10</v>
      </c>
      <c r="B23" s="6"/>
      <c r="C23" s="1" t="s">
        <v>12</v>
      </c>
      <c r="D23" s="1" t="s">
        <v>13</v>
      </c>
      <c r="E23" s="5" t="s">
        <v>52</v>
      </c>
      <c r="F23" s="3" t="str">
        <f>IFERROR(__xludf.DUMMYFUNCTION("REGEXREPLACE(E23, ""[^A-Za-z0-9]"", """")"),"MeansofTransportationtoWorkbyAge")</f>
        <v>MeansofTransportationtoWorkbyAge</v>
      </c>
      <c r="G23" s="4" t="s">
        <v>15</v>
      </c>
      <c r="H23" s="7" t="s">
        <v>119</v>
      </c>
      <c r="I23" s="1" t="s">
        <v>120</v>
      </c>
      <c r="J23" s="1" t="s">
        <v>121</v>
      </c>
      <c r="K23" s="1"/>
      <c r="L23" s="1" t="s">
        <v>122</v>
      </c>
      <c r="M23" s="3" t="str">
        <f>IFERROR(__xludf.DUMMYFUNCTION("REGEXREPLACE(L23, ""[^A-Za-z0-9]"", """")"),"Cartruckorvandrovealone60to64years")</f>
        <v>Cartruckorvandrovealone60to64years</v>
      </c>
      <c r="N23" s="1" t="s">
        <v>123</v>
      </c>
      <c r="O23" s="1" t="str">
        <f t="shared" si="1"/>
        <v>TranstoWorkCartruckorvandrovealone60to64years = 'B08101_015',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2" t="s">
        <v>10</v>
      </c>
      <c r="B24" s="6"/>
      <c r="C24" s="1" t="s">
        <v>12</v>
      </c>
      <c r="D24" s="1" t="s">
        <v>13</v>
      </c>
      <c r="E24" s="5" t="s">
        <v>52</v>
      </c>
      <c r="F24" s="3" t="str">
        <f>IFERROR(__xludf.DUMMYFUNCTION("REGEXREPLACE(E24, ""[^A-Za-z0-9]"", """")"),"MeansofTransportationtoWorkbyAge")</f>
        <v>MeansofTransportationtoWorkbyAge</v>
      </c>
      <c r="G24" s="4" t="s">
        <v>15</v>
      </c>
      <c r="H24" s="7" t="s">
        <v>124</v>
      </c>
      <c r="I24" s="1" t="s">
        <v>125</v>
      </c>
      <c r="J24" s="1" t="s">
        <v>126</v>
      </c>
      <c r="K24" s="1"/>
      <c r="L24" s="1" t="s">
        <v>127</v>
      </c>
      <c r="M24" s="3" t="str">
        <f>IFERROR(__xludf.DUMMYFUNCTION("REGEXREPLACE(L24, ""[^A-Za-z0-9]"", """")"),"Cartruckorvandrovealone65yearsandover")</f>
        <v>Cartruckorvandrovealone65yearsandover</v>
      </c>
      <c r="N24" s="1" t="s">
        <v>128</v>
      </c>
      <c r="O24" s="1" t="str">
        <f t="shared" si="1"/>
        <v>TranstoWorkCartruckorvandrovealone65yearsandover = 'B08101_016',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2" t="s">
        <v>10</v>
      </c>
      <c r="B25" s="6"/>
      <c r="C25" s="1" t="s">
        <v>12</v>
      </c>
      <c r="D25" s="1" t="s">
        <v>13</v>
      </c>
      <c r="E25" s="5" t="s">
        <v>52</v>
      </c>
      <c r="F25" s="3" t="str">
        <f>IFERROR(__xludf.DUMMYFUNCTION("REGEXREPLACE(E25, ""[^A-Za-z0-9]"", """")"),"MeansofTransportationtoWorkbyAge")</f>
        <v>MeansofTransportationtoWorkbyAge</v>
      </c>
      <c r="G25" s="4" t="s">
        <v>15</v>
      </c>
      <c r="H25" s="7" t="s">
        <v>129</v>
      </c>
      <c r="I25" s="1" t="s">
        <v>130</v>
      </c>
      <c r="J25" s="1" t="s">
        <v>131</v>
      </c>
      <c r="K25" s="1"/>
      <c r="L25" s="1" t="s">
        <v>132</v>
      </c>
      <c r="M25" s="3" t="str">
        <f>IFERROR(__xludf.DUMMYFUNCTION("REGEXREPLACE(L25, ""[^A-Za-z0-9]"", """")"),"Cartruckorvancarpooled")</f>
        <v>Cartruckorvancarpooled</v>
      </c>
      <c r="N25" s="1" t="s">
        <v>30</v>
      </c>
      <c r="O25" s="1" t="str">
        <f t="shared" si="1"/>
        <v>TranstoWorkCartruckorvancarpooled = 'B08101_017',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2" t="s">
        <v>10</v>
      </c>
      <c r="B26" s="6"/>
      <c r="C26" s="1" t="s">
        <v>12</v>
      </c>
      <c r="D26" s="1" t="s">
        <v>13</v>
      </c>
      <c r="E26" s="5" t="s">
        <v>52</v>
      </c>
      <c r="F26" s="3" t="str">
        <f>IFERROR(__xludf.DUMMYFUNCTION("REGEXREPLACE(E26, ""[^A-Za-z0-9]"", """")"),"MeansofTransportationtoWorkbyAge")</f>
        <v>MeansofTransportationtoWorkbyAge</v>
      </c>
      <c r="G26" s="4" t="s">
        <v>15</v>
      </c>
      <c r="H26" s="7" t="s">
        <v>133</v>
      </c>
      <c r="I26" s="1" t="s">
        <v>134</v>
      </c>
      <c r="J26" s="1" t="s">
        <v>135</v>
      </c>
      <c r="K26" s="1"/>
      <c r="L26" s="1" t="s">
        <v>136</v>
      </c>
      <c r="M26" s="3" t="str">
        <f>IFERROR(__xludf.DUMMYFUNCTION("REGEXREPLACE(L26, ""[^A-Za-z0-9]"", """")"),"Cartruckorvancarpooled16to19years")</f>
        <v>Cartruckorvancarpooled16to19years</v>
      </c>
      <c r="N26" s="1" t="s">
        <v>137</v>
      </c>
      <c r="O26" s="1" t="str">
        <f t="shared" si="1"/>
        <v>TranstoWorkCartruckorvancarpooled16to19years = 'B08101_018',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2" t="s">
        <v>10</v>
      </c>
      <c r="B27" s="6"/>
      <c r="C27" s="1" t="s">
        <v>12</v>
      </c>
      <c r="D27" s="1" t="s">
        <v>13</v>
      </c>
      <c r="E27" s="5" t="s">
        <v>52</v>
      </c>
      <c r="F27" s="3" t="str">
        <f>IFERROR(__xludf.DUMMYFUNCTION("REGEXREPLACE(E27, ""[^A-Za-z0-9]"", """")"),"MeansofTransportationtoWorkbyAge")</f>
        <v>MeansofTransportationtoWorkbyAge</v>
      </c>
      <c r="G27" s="4" t="s">
        <v>15</v>
      </c>
      <c r="H27" s="7" t="s">
        <v>138</v>
      </c>
      <c r="I27" s="1" t="s">
        <v>139</v>
      </c>
      <c r="J27" s="1" t="s">
        <v>140</v>
      </c>
      <c r="K27" s="1"/>
      <c r="L27" s="1" t="s">
        <v>141</v>
      </c>
      <c r="M27" s="3" t="str">
        <f>IFERROR(__xludf.DUMMYFUNCTION("REGEXREPLACE(L27, ""[^A-Za-z0-9]"", """")"),"Cartruckorvancarpooled20to24years")</f>
        <v>Cartruckorvancarpooled20to24years</v>
      </c>
      <c r="N27" s="1" t="s">
        <v>142</v>
      </c>
      <c r="O27" s="1" t="str">
        <f t="shared" si="1"/>
        <v>TranstoWorkCartruckorvancarpooled20to24years = 'B08101_019',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2" t="s">
        <v>10</v>
      </c>
      <c r="B28" s="6"/>
      <c r="C28" s="1" t="s">
        <v>12</v>
      </c>
      <c r="D28" s="1" t="s">
        <v>13</v>
      </c>
      <c r="E28" s="5" t="s">
        <v>52</v>
      </c>
      <c r="F28" s="3" t="str">
        <f>IFERROR(__xludf.DUMMYFUNCTION("REGEXREPLACE(E28, ""[^A-Za-z0-9]"", """")"),"MeansofTransportationtoWorkbyAge")</f>
        <v>MeansofTransportationtoWorkbyAge</v>
      </c>
      <c r="G28" s="4" t="s">
        <v>15</v>
      </c>
      <c r="H28" s="7" t="s">
        <v>143</v>
      </c>
      <c r="I28" s="1" t="s">
        <v>144</v>
      </c>
      <c r="J28" s="1" t="s">
        <v>145</v>
      </c>
      <c r="K28" s="1"/>
      <c r="L28" s="1" t="s">
        <v>146</v>
      </c>
      <c r="M28" s="3" t="str">
        <f>IFERROR(__xludf.DUMMYFUNCTION("REGEXREPLACE(L28, ""[^A-Za-z0-9]"", """")"),"Cartruckorvancarpooled25to44years")</f>
        <v>Cartruckorvancarpooled25to44years</v>
      </c>
      <c r="N28" s="1" t="s">
        <v>147</v>
      </c>
      <c r="O28" s="1" t="str">
        <f t="shared" si="1"/>
        <v>TranstoWorkCartruckorvancarpooled25to44years = 'B08101_020',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2" t="s">
        <v>10</v>
      </c>
      <c r="B29" s="6"/>
      <c r="C29" s="1" t="s">
        <v>12</v>
      </c>
      <c r="D29" s="1" t="s">
        <v>13</v>
      </c>
      <c r="E29" s="5" t="s">
        <v>52</v>
      </c>
      <c r="F29" s="3" t="str">
        <f>IFERROR(__xludf.DUMMYFUNCTION("REGEXREPLACE(E29, ""[^A-Za-z0-9]"", """")"),"MeansofTransportationtoWorkbyAge")</f>
        <v>MeansofTransportationtoWorkbyAge</v>
      </c>
      <c r="G29" s="4" t="s">
        <v>15</v>
      </c>
      <c r="H29" s="7" t="s">
        <v>148</v>
      </c>
      <c r="I29" s="1" t="s">
        <v>149</v>
      </c>
      <c r="J29" s="1" t="s">
        <v>150</v>
      </c>
      <c r="K29" s="1"/>
      <c r="L29" s="1" t="s">
        <v>151</v>
      </c>
      <c r="M29" s="3" t="str">
        <f>IFERROR(__xludf.DUMMYFUNCTION("REGEXREPLACE(L29, ""[^A-Za-z0-9]"", """")"),"Cartruckorvancarpooled45to54years")</f>
        <v>Cartruckorvancarpooled45to54years</v>
      </c>
      <c r="N29" s="1" t="s">
        <v>152</v>
      </c>
      <c r="O29" s="1" t="str">
        <f t="shared" si="1"/>
        <v>TranstoWorkCartruckorvancarpooled45to54years = 'B08101_021',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2" t="s">
        <v>10</v>
      </c>
      <c r="B30" s="6"/>
      <c r="C30" s="1" t="s">
        <v>12</v>
      </c>
      <c r="D30" s="1" t="s">
        <v>13</v>
      </c>
      <c r="E30" s="5" t="s">
        <v>52</v>
      </c>
      <c r="F30" s="3" t="str">
        <f>IFERROR(__xludf.DUMMYFUNCTION("REGEXREPLACE(E30, ""[^A-Za-z0-9]"", """")"),"MeansofTransportationtoWorkbyAge")</f>
        <v>MeansofTransportationtoWorkbyAge</v>
      </c>
      <c r="G30" s="4" t="s">
        <v>15</v>
      </c>
      <c r="H30" s="7" t="s">
        <v>153</v>
      </c>
      <c r="I30" s="1" t="s">
        <v>154</v>
      </c>
      <c r="J30" s="1" t="s">
        <v>155</v>
      </c>
      <c r="K30" s="1"/>
      <c r="L30" s="1" t="s">
        <v>156</v>
      </c>
      <c r="M30" s="3" t="str">
        <f>IFERROR(__xludf.DUMMYFUNCTION("REGEXREPLACE(L30, ""[^A-Za-z0-9]"", """")"),"Cartruckorvancarpooled55to59years")</f>
        <v>Cartruckorvancarpooled55to59years</v>
      </c>
      <c r="N30" s="1" t="s">
        <v>157</v>
      </c>
      <c r="O30" s="1" t="str">
        <f t="shared" si="1"/>
        <v>TranstoWorkCartruckorvancarpooled55to59years = 'B08101_022',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2" t="s">
        <v>10</v>
      </c>
      <c r="B31" s="6"/>
      <c r="C31" s="1" t="s">
        <v>12</v>
      </c>
      <c r="D31" s="1" t="s">
        <v>13</v>
      </c>
      <c r="E31" s="5" t="s">
        <v>52</v>
      </c>
      <c r="F31" s="3" t="str">
        <f>IFERROR(__xludf.DUMMYFUNCTION("REGEXREPLACE(E31, ""[^A-Za-z0-9]"", """")"),"MeansofTransportationtoWorkbyAge")</f>
        <v>MeansofTransportationtoWorkbyAge</v>
      </c>
      <c r="G31" s="4" t="s">
        <v>15</v>
      </c>
      <c r="H31" s="7" t="s">
        <v>158</v>
      </c>
      <c r="I31" s="1" t="s">
        <v>159</v>
      </c>
      <c r="J31" s="1" t="s">
        <v>160</v>
      </c>
      <c r="K31" s="1"/>
      <c r="L31" s="1" t="s">
        <v>161</v>
      </c>
      <c r="M31" s="3" t="str">
        <f>IFERROR(__xludf.DUMMYFUNCTION("REGEXREPLACE(L31, ""[^A-Za-z0-9]"", """")"),"Cartruckorvancarpooled60to64years")</f>
        <v>Cartruckorvancarpooled60to64years</v>
      </c>
      <c r="N31" s="1" t="s">
        <v>162</v>
      </c>
      <c r="O31" s="1" t="str">
        <f t="shared" si="1"/>
        <v>TranstoWorkCartruckorvancarpooled60to64years = 'B08101_023',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2" t="s">
        <v>10</v>
      </c>
      <c r="B32" s="6"/>
      <c r="C32" s="1" t="s">
        <v>12</v>
      </c>
      <c r="D32" s="1" t="s">
        <v>13</v>
      </c>
      <c r="E32" s="5" t="s">
        <v>52</v>
      </c>
      <c r="F32" s="3" t="str">
        <f>IFERROR(__xludf.DUMMYFUNCTION("REGEXREPLACE(E32, ""[^A-Za-z0-9]"", """")"),"MeansofTransportationtoWorkbyAge")</f>
        <v>MeansofTransportationtoWorkbyAge</v>
      </c>
      <c r="G32" s="4" t="s">
        <v>15</v>
      </c>
      <c r="H32" s="7" t="s">
        <v>163</v>
      </c>
      <c r="I32" s="1" t="s">
        <v>164</v>
      </c>
      <c r="J32" s="1" t="s">
        <v>165</v>
      </c>
      <c r="K32" s="1"/>
      <c r="L32" s="1" t="s">
        <v>166</v>
      </c>
      <c r="M32" s="3" t="str">
        <f>IFERROR(__xludf.DUMMYFUNCTION("REGEXREPLACE(L32, ""[^A-Za-z0-9]"", """")"),"Cartruckorvancarpooled65yearsandover")</f>
        <v>Cartruckorvancarpooled65yearsandover</v>
      </c>
      <c r="N32" s="1" t="s">
        <v>167</v>
      </c>
      <c r="O32" s="1" t="str">
        <f t="shared" si="1"/>
        <v>TranstoWorkCartruckorvancarpooled65yearsandover = 'B08101_024',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2" t="s">
        <v>10</v>
      </c>
      <c r="B33" s="6"/>
      <c r="C33" s="1" t="s">
        <v>12</v>
      </c>
      <c r="D33" s="1" t="s">
        <v>13</v>
      </c>
      <c r="E33" s="5" t="s">
        <v>52</v>
      </c>
      <c r="F33" s="3" t="str">
        <f>IFERROR(__xludf.DUMMYFUNCTION("REGEXREPLACE(E33, ""[^A-Za-z0-9]"", """")"),"MeansofTransportationtoWorkbyAge")</f>
        <v>MeansofTransportationtoWorkbyAge</v>
      </c>
      <c r="G33" s="4" t="s">
        <v>15</v>
      </c>
      <c r="H33" s="7" t="s">
        <v>168</v>
      </c>
      <c r="I33" s="1" t="s">
        <v>169</v>
      </c>
      <c r="J33" s="1" t="s">
        <v>170</v>
      </c>
      <c r="K33" s="1"/>
      <c r="L33" s="1" t="s">
        <v>171</v>
      </c>
      <c r="M33" s="3" t="str">
        <f>IFERROR(__xludf.DUMMYFUNCTION("REGEXREPLACE(L33, ""[^A-Za-z0-9]"", """")"),"Publictransportationexcludingtaxicab")</f>
        <v>Publictransportationexcludingtaxicab</v>
      </c>
      <c r="N33" s="1" t="s">
        <v>35</v>
      </c>
      <c r="O33" s="1" t="str">
        <f t="shared" si="1"/>
        <v>TranstoWorkPublictransportationexcludingtaxicab = 'B08101_025',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2" t="s">
        <v>10</v>
      </c>
      <c r="B34" s="6"/>
      <c r="C34" s="1" t="s">
        <v>12</v>
      </c>
      <c r="D34" s="1" t="s">
        <v>13</v>
      </c>
      <c r="E34" s="5" t="s">
        <v>52</v>
      </c>
      <c r="F34" s="3" t="str">
        <f>IFERROR(__xludf.DUMMYFUNCTION("REGEXREPLACE(E34, ""[^A-Za-z0-9]"", """")"),"MeansofTransportationtoWorkbyAge")</f>
        <v>MeansofTransportationtoWorkbyAge</v>
      </c>
      <c r="G34" s="4" t="s">
        <v>15</v>
      </c>
      <c r="H34" s="7" t="s">
        <v>172</v>
      </c>
      <c r="I34" s="1" t="s">
        <v>173</v>
      </c>
      <c r="J34" s="1" t="s">
        <v>174</v>
      </c>
      <c r="K34" s="1"/>
      <c r="L34" s="1" t="s">
        <v>175</v>
      </c>
      <c r="M34" s="3" t="str">
        <f>IFERROR(__xludf.DUMMYFUNCTION("REGEXREPLACE(L34, ""[^A-Za-z0-9]"", """")"),"Publictransportationexcludingtaxicab16to19years")</f>
        <v>Publictransportationexcludingtaxicab16to19years</v>
      </c>
      <c r="N34" s="1" t="s">
        <v>176</v>
      </c>
      <c r="O34" s="1" t="str">
        <f t="shared" si="1"/>
        <v>TranstoWorkPublictransportationexcludingtaxicab16to19years = 'B08101_026',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2" t="s">
        <v>10</v>
      </c>
      <c r="B35" s="6"/>
      <c r="C35" s="1" t="s">
        <v>12</v>
      </c>
      <c r="D35" s="1" t="s">
        <v>13</v>
      </c>
      <c r="E35" s="5" t="s">
        <v>52</v>
      </c>
      <c r="F35" s="3" t="str">
        <f>IFERROR(__xludf.DUMMYFUNCTION("REGEXREPLACE(E35, ""[^A-Za-z0-9]"", """")"),"MeansofTransportationtoWorkbyAge")</f>
        <v>MeansofTransportationtoWorkbyAge</v>
      </c>
      <c r="G35" s="4" t="s">
        <v>15</v>
      </c>
      <c r="H35" s="7" t="s">
        <v>177</v>
      </c>
      <c r="I35" s="1" t="s">
        <v>178</v>
      </c>
      <c r="J35" s="1" t="s">
        <v>179</v>
      </c>
      <c r="K35" s="1"/>
      <c r="L35" s="1" t="s">
        <v>180</v>
      </c>
      <c r="M35" s="3" t="str">
        <f>IFERROR(__xludf.DUMMYFUNCTION("REGEXREPLACE(L35, ""[^A-Za-z0-9]"", """")"),"Publictransportationexcludingtaxicab20to24years")</f>
        <v>Publictransportationexcludingtaxicab20to24years</v>
      </c>
      <c r="N35" s="1" t="s">
        <v>181</v>
      </c>
      <c r="O35" s="1" t="str">
        <f t="shared" si="1"/>
        <v>TranstoWorkPublictransportationexcludingtaxicab20to24years = 'B08101_027',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2" t="s">
        <v>10</v>
      </c>
      <c r="B36" s="6"/>
      <c r="C36" s="1" t="s">
        <v>12</v>
      </c>
      <c r="D36" s="1" t="s">
        <v>13</v>
      </c>
      <c r="E36" s="5" t="s">
        <v>52</v>
      </c>
      <c r="F36" s="3" t="str">
        <f>IFERROR(__xludf.DUMMYFUNCTION("REGEXREPLACE(E36, ""[^A-Za-z0-9]"", """")"),"MeansofTransportationtoWorkbyAge")</f>
        <v>MeansofTransportationtoWorkbyAge</v>
      </c>
      <c r="G36" s="4" t="s">
        <v>15</v>
      </c>
      <c r="H36" s="7" t="s">
        <v>182</v>
      </c>
      <c r="I36" s="1" t="s">
        <v>183</v>
      </c>
      <c r="J36" s="1" t="s">
        <v>184</v>
      </c>
      <c r="K36" s="1"/>
      <c r="L36" s="1" t="s">
        <v>185</v>
      </c>
      <c r="M36" s="3" t="str">
        <f>IFERROR(__xludf.DUMMYFUNCTION("REGEXREPLACE(L36, ""[^A-Za-z0-9]"", """")"),"Publictransportationexcludingtaxicab25to44years")</f>
        <v>Publictransportationexcludingtaxicab25to44years</v>
      </c>
      <c r="N36" s="1" t="s">
        <v>186</v>
      </c>
      <c r="O36" s="1" t="str">
        <f t="shared" si="1"/>
        <v>TranstoWorkPublictransportationexcludingtaxicab25to44years = 'B08101_028',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2" t="s">
        <v>10</v>
      </c>
      <c r="B37" s="6"/>
      <c r="C37" s="1" t="s">
        <v>12</v>
      </c>
      <c r="D37" s="1" t="s">
        <v>13</v>
      </c>
      <c r="E37" s="5" t="s">
        <v>52</v>
      </c>
      <c r="F37" s="3" t="str">
        <f>IFERROR(__xludf.DUMMYFUNCTION("REGEXREPLACE(E37, ""[^A-Za-z0-9]"", """")"),"MeansofTransportationtoWorkbyAge")</f>
        <v>MeansofTransportationtoWorkbyAge</v>
      </c>
      <c r="G37" s="4" t="s">
        <v>15</v>
      </c>
      <c r="H37" s="7" t="s">
        <v>187</v>
      </c>
      <c r="I37" s="1" t="s">
        <v>188</v>
      </c>
      <c r="J37" s="1" t="s">
        <v>189</v>
      </c>
      <c r="K37" s="1"/>
      <c r="L37" s="1" t="s">
        <v>190</v>
      </c>
      <c r="M37" s="3" t="str">
        <f>IFERROR(__xludf.DUMMYFUNCTION("REGEXREPLACE(L37, ""[^A-Za-z0-9]"", """")"),"Publictransportationexcludingtaxicab45to54years")</f>
        <v>Publictransportationexcludingtaxicab45to54years</v>
      </c>
      <c r="N37" s="1" t="s">
        <v>191</v>
      </c>
      <c r="O37" s="1" t="str">
        <f t="shared" si="1"/>
        <v>TranstoWorkPublictransportationexcludingtaxicab45to54years = 'B08101_029',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2" t="s">
        <v>10</v>
      </c>
      <c r="B38" s="6"/>
      <c r="C38" s="1" t="s">
        <v>12</v>
      </c>
      <c r="D38" s="1" t="s">
        <v>13</v>
      </c>
      <c r="E38" s="5" t="s">
        <v>52</v>
      </c>
      <c r="F38" s="3" t="str">
        <f>IFERROR(__xludf.DUMMYFUNCTION("REGEXREPLACE(E38, ""[^A-Za-z0-9]"", """")"),"MeansofTransportationtoWorkbyAge")</f>
        <v>MeansofTransportationtoWorkbyAge</v>
      </c>
      <c r="G38" s="4" t="s">
        <v>15</v>
      </c>
      <c r="H38" s="7" t="s">
        <v>192</v>
      </c>
      <c r="I38" s="1" t="s">
        <v>193</v>
      </c>
      <c r="J38" s="1" t="s">
        <v>194</v>
      </c>
      <c r="K38" s="1"/>
      <c r="L38" s="1" t="s">
        <v>195</v>
      </c>
      <c r="M38" s="3" t="str">
        <f>IFERROR(__xludf.DUMMYFUNCTION("REGEXREPLACE(L38, ""[^A-Za-z0-9]"", """")"),"Publictransportationexcludingtaxicab55to59years")</f>
        <v>Publictransportationexcludingtaxicab55to59years</v>
      </c>
      <c r="N38" s="1" t="s">
        <v>196</v>
      </c>
      <c r="O38" s="1" t="str">
        <f t="shared" si="1"/>
        <v>TranstoWorkPublictransportationexcludingtaxicab55to59years = 'B08101_030',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2" t="s">
        <v>10</v>
      </c>
      <c r="B39" s="6"/>
      <c r="C39" s="1" t="s">
        <v>12</v>
      </c>
      <c r="D39" s="1" t="s">
        <v>13</v>
      </c>
      <c r="E39" s="5" t="s">
        <v>52</v>
      </c>
      <c r="F39" s="3" t="str">
        <f>IFERROR(__xludf.DUMMYFUNCTION("REGEXREPLACE(E39, ""[^A-Za-z0-9]"", """")"),"MeansofTransportationtoWorkbyAge")</f>
        <v>MeansofTransportationtoWorkbyAge</v>
      </c>
      <c r="G39" s="4" t="s">
        <v>15</v>
      </c>
      <c r="H39" s="7" t="s">
        <v>197</v>
      </c>
      <c r="I39" s="1" t="s">
        <v>198</v>
      </c>
      <c r="J39" s="1" t="s">
        <v>199</v>
      </c>
      <c r="K39" s="1"/>
      <c r="L39" s="1" t="s">
        <v>200</v>
      </c>
      <c r="M39" s="3" t="str">
        <f>IFERROR(__xludf.DUMMYFUNCTION("REGEXREPLACE(L39, ""[^A-Za-z0-9]"", """")"),"Publictransportationexcludingtaxicab60to64years")</f>
        <v>Publictransportationexcludingtaxicab60to64years</v>
      </c>
      <c r="N39" s="1" t="s">
        <v>201</v>
      </c>
      <c r="O39" s="1" t="str">
        <f t="shared" si="1"/>
        <v>TranstoWorkPublictransportationexcludingtaxicab60to64years = 'B08101_031',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2" t="s">
        <v>10</v>
      </c>
      <c r="B40" s="6"/>
      <c r="C40" s="1" t="s">
        <v>12</v>
      </c>
      <c r="D40" s="1" t="s">
        <v>13</v>
      </c>
      <c r="E40" s="5" t="s">
        <v>52</v>
      </c>
      <c r="F40" s="3" t="str">
        <f>IFERROR(__xludf.DUMMYFUNCTION("REGEXREPLACE(E40, ""[^A-Za-z0-9]"", """")"),"MeansofTransportationtoWorkbyAge")</f>
        <v>MeansofTransportationtoWorkbyAge</v>
      </c>
      <c r="G40" s="4" t="s">
        <v>15</v>
      </c>
      <c r="H40" s="7" t="s">
        <v>202</v>
      </c>
      <c r="I40" s="1" t="s">
        <v>203</v>
      </c>
      <c r="J40" s="1" t="s">
        <v>204</v>
      </c>
      <c r="K40" s="1"/>
      <c r="L40" s="1" t="s">
        <v>205</v>
      </c>
      <c r="M40" s="3" t="str">
        <f>IFERROR(__xludf.DUMMYFUNCTION("REGEXREPLACE(L40, ""[^A-Za-z0-9]"", """")"),"Publictransportationexcludingtaxicab65yearsandover")</f>
        <v>Publictransportationexcludingtaxicab65yearsandover</v>
      </c>
      <c r="N40" s="1" t="s">
        <v>206</v>
      </c>
      <c r="O40" s="1" t="str">
        <f t="shared" si="1"/>
        <v>TranstoWorkPublictransportationexcludingtaxicab65yearsandover = 'B08101_032',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2" t="s">
        <v>10</v>
      </c>
      <c r="B41" s="6"/>
      <c r="C41" s="1" t="s">
        <v>12</v>
      </c>
      <c r="D41" s="1" t="s">
        <v>13</v>
      </c>
      <c r="E41" s="5" t="s">
        <v>52</v>
      </c>
      <c r="F41" s="3" t="str">
        <f>IFERROR(__xludf.DUMMYFUNCTION("REGEXREPLACE(E41, ""[^A-Za-z0-9]"", """")"),"MeansofTransportationtoWorkbyAge")</f>
        <v>MeansofTransportationtoWorkbyAge</v>
      </c>
      <c r="G41" s="4" t="s">
        <v>15</v>
      </c>
      <c r="H41" s="7" t="s">
        <v>207</v>
      </c>
      <c r="I41" s="1" t="s">
        <v>208</v>
      </c>
      <c r="J41" s="1" t="s">
        <v>209</v>
      </c>
      <c r="K41" s="1"/>
      <c r="L41" s="1" t="s">
        <v>210</v>
      </c>
      <c r="M41" s="3" t="str">
        <f>IFERROR(__xludf.DUMMYFUNCTION("REGEXREPLACE(L41, ""[^A-Za-z0-9]"", """")"),"Walked")</f>
        <v>Walked</v>
      </c>
      <c r="N41" s="1" t="s">
        <v>40</v>
      </c>
      <c r="O41" s="1" t="str">
        <f t="shared" si="1"/>
        <v>TranstoWorkWalked = 'B08101_033',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2" t="s">
        <v>10</v>
      </c>
      <c r="B42" s="6"/>
      <c r="C42" s="1" t="s">
        <v>12</v>
      </c>
      <c r="D42" s="1" t="s">
        <v>13</v>
      </c>
      <c r="E42" s="5" t="s">
        <v>52</v>
      </c>
      <c r="F42" s="3" t="str">
        <f>IFERROR(__xludf.DUMMYFUNCTION("REGEXREPLACE(E42, ""[^A-Za-z0-9]"", """")"),"MeansofTransportationtoWorkbyAge")</f>
        <v>MeansofTransportationtoWorkbyAge</v>
      </c>
      <c r="G42" s="4" t="s">
        <v>15</v>
      </c>
      <c r="H42" s="7" t="s">
        <v>211</v>
      </c>
      <c r="I42" s="1" t="s">
        <v>212</v>
      </c>
      <c r="J42" s="1" t="s">
        <v>213</v>
      </c>
      <c r="K42" s="1"/>
      <c r="L42" s="1" t="s">
        <v>214</v>
      </c>
      <c r="M42" s="3" t="str">
        <f>IFERROR(__xludf.DUMMYFUNCTION("REGEXREPLACE(L42, ""[^A-Za-z0-9]"", """")"),"Walked16to19years")</f>
        <v>Walked16to19years</v>
      </c>
      <c r="N42" s="1" t="s">
        <v>215</v>
      </c>
      <c r="O42" s="1" t="str">
        <f t="shared" si="1"/>
        <v>TranstoWorkWalked16to19years = 'B08101_034',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2" t="s">
        <v>10</v>
      </c>
      <c r="B43" s="6"/>
      <c r="C43" s="1" t="s">
        <v>12</v>
      </c>
      <c r="D43" s="1" t="s">
        <v>13</v>
      </c>
      <c r="E43" s="5" t="s">
        <v>52</v>
      </c>
      <c r="F43" s="3" t="str">
        <f>IFERROR(__xludf.DUMMYFUNCTION("REGEXREPLACE(E43, ""[^A-Za-z0-9]"", """")"),"MeansofTransportationtoWorkbyAge")</f>
        <v>MeansofTransportationtoWorkbyAge</v>
      </c>
      <c r="G43" s="4" t="s">
        <v>15</v>
      </c>
      <c r="H43" s="7" t="s">
        <v>216</v>
      </c>
      <c r="I43" s="1" t="s">
        <v>217</v>
      </c>
      <c r="J43" s="1" t="s">
        <v>218</v>
      </c>
      <c r="K43" s="1"/>
      <c r="L43" s="1" t="s">
        <v>219</v>
      </c>
      <c r="M43" s="3" t="str">
        <f>IFERROR(__xludf.DUMMYFUNCTION("REGEXREPLACE(L43, ""[^A-Za-z0-9]"", """")"),"Walked20to24years")</f>
        <v>Walked20to24years</v>
      </c>
      <c r="N43" s="1" t="s">
        <v>220</v>
      </c>
      <c r="O43" s="1" t="str">
        <f t="shared" si="1"/>
        <v>TranstoWorkWalked20to24years = 'B08101_035',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2" t="s">
        <v>10</v>
      </c>
      <c r="B44" s="6"/>
      <c r="C44" s="1" t="s">
        <v>12</v>
      </c>
      <c r="D44" s="1" t="s">
        <v>13</v>
      </c>
      <c r="E44" s="5" t="s">
        <v>52</v>
      </c>
      <c r="F44" s="3" t="str">
        <f>IFERROR(__xludf.DUMMYFUNCTION("REGEXREPLACE(E44, ""[^A-Za-z0-9]"", """")"),"MeansofTransportationtoWorkbyAge")</f>
        <v>MeansofTransportationtoWorkbyAge</v>
      </c>
      <c r="G44" s="4" t="s">
        <v>15</v>
      </c>
      <c r="H44" s="7" t="s">
        <v>221</v>
      </c>
      <c r="I44" s="1" t="s">
        <v>222</v>
      </c>
      <c r="J44" s="1" t="s">
        <v>223</v>
      </c>
      <c r="K44" s="1"/>
      <c r="L44" s="1" t="s">
        <v>224</v>
      </c>
      <c r="M44" s="3" t="str">
        <f>IFERROR(__xludf.DUMMYFUNCTION("REGEXREPLACE(L44, ""[^A-Za-z0-9]"", """")"),"Walked25to44years")</f>
        <v>Walked25to44years</v>
      </c>
      <c r="N44" s="1" t="s">
        <v>225</v>
      </c>
      <c r="O44" s="1" t="str">
        <f t="shared" si="1"/>
        <v>TranstoWorkWalked25to44years = 'B08101_036',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2" t="s">
        <v>10</v>
      </c>
      <c r="B45" s="6"/>
      <c r="C45" s="1" t="s">
        <v>12</v>
      </c>
      <c r="D45" s="1" t="s">
        <v>13</v>
      </c>
      <c r="E45" s="5" t="s">
        <v>52</v>
      </c>
      <c r="F45" s="3" t="str">
        <f>IFERROR(__xludf.DUMMYFUNCTION("REGEXREPLACE(E45, ""[^A-Za-z0-9]"", """")"),"MeansofTransportationtoWorkbyAge")</f>
        <v>MeansofTransportationtoWorkbyAge</v>
      </c>
      <c r="G45" s="4" t="s">
        <v>15</v>
      </c>
      <c r="H45" s="7" t="s">
        <v>226</v>
      </c>
      <c r="I45" s="1" t="s">
        <v>227</v>
      </c>
      <c r="J45" s="1" t="s">
        <v>228</v>
      </c>
      <c r="K45" s="1"/>
      <c r="L45" s="1" t="s">
        <v>229</v>
      </c>
      <c r="M45" s="3" t="str">
        <f>IFERROR(__xludf.DUMMYFUNCTION("REGEXREPLACE(L45, ""[^A-Za-z0-9]"", """")"),"Walked45to54years")</f>
        <v>Walked45to54years</v>
      </c>
      <c r="N45" s="1" t="s">
        <v>230</v>
      </c>
      <c r="O45" s="1" t="str">
        <f t="shared" si="1"/>
        <v>TranstoWorkWalked45to54years = 'B08101_037',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2" t="s">
        <v>10</v>
      </c>
      <c r="B46" s="6"/>
      <c r="C46" s="1" t="s">
        <v>12</v>
      </c>
      <c r="D46" s="1" t="s">
        <v>13</v>
      </c>
      <c r="E46" s="5" t="s">
        <v>52</v>
      </c>
      <c r="F46" s="3" t="str">
        <f>IFERROR(__xludf.DUMMYFUNCTION("REGEXREPLACE(E46, ""[^A-Za-z0-9]"", """")"),"MeansofTransportationtoWorkbyAge")</f>
        <v>MeansofTransportationtoWorkbyAge</v>
      </c>
      <c r="G46" s="4" t="s">
        <v>15</v>
      </c>
      <c r="H46" s="7" t="s">
        <v>231</v>
      </c>
      <c r="I46" s="1" t="s">
        <v>232</v>
      </c>
      <c r="J46" s="1" t="s">
        <v>233</v>
      </c>
      <c r="K46" s="1"/>
      <c r="L46" s="1" t="s">
        <v>234</v>
      </c>
      <c r="M46" s="3" t="str">
        <f>IFERROR(__xludf.DUMMYFUNCTION("REGEXREPLACE(L46, ""[^A-Za-z0-9]"", """")"),"Walked55to59years")</f>
        <v>Walked55to59years</v>
      </c>
      <c r="N46" s="1" t="s">
        <v>235</v>
      </c>
      <c r="O46" s="1" t="str">
        <f t="shared" si="1"/>
        <v>TranstoWorkWalked55to59years = 'B08101_038',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2" t="s">
        <v>10</v>
      </c>
      <c r="B47" s="6"/>
      <c r="C47" s="1" t="s">
        <v>12</v>
      </c>
      <c r="D47" s="1" t="s">
        <v>13</v>
      </c>
      <c r="E47" s="5" t="s">
        <v>52</v>
      </c>
      <c r="F47" s="3" t="str">
        <f>IFERROR(__xludf.DUMMYFUNCTION("REGEXREPLACE(E47, ""[^A-Za-z0-9]"", """")"),"MeansofTransportationtoWorkbyAge")</f>
        <v>MeansofTransportationtoWorkbyAge</v>
      </c>
      <c r="G47" s="4" t="s">
        <v>15</v>
      </c>
      <c r="H47" s="7" t="s">
        <v>236</v>
      </c>
      <c r="I47" s="1" t="s">
        <v>237</v>
      </c>
      <c r="J47" s="1" t="s">
        <v>238</v>
      </c>
      <c r="K47" s="1"/>
      <c r="L47" s="1" t="s">
        <v>239</v>
      </c>
      <c r="M47" s="3" t="str">
        <f>IFERROR(__xludf.DUMMYFUNCTION("REGEXREPLACE(L47, ""[^A-Za-z0-9]"", """")"),"Walked60to64years")</f>
        <v>Walked60to64years</v>
      </c>
      <c r="N47" s="1" t="s">
        <v>240</v>
      </c>
      <c r="O47" s="1" t="str">
        <f t="shared" si="1"/>
        <v>TranstoWorkWalked60to64years = 'B08101_039',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2" t="s">
        <v>10</v>
      </c>
      <c r="B48" s="6"/>
      <c r="C48" s="1" t="s">
        <v>12</v>
      </c>
      <c r="D48" s="1" t="s">
        <v>13</v>
      </c>
      <c r="E48" s="5" t="s">
        <v>52</v>
      </c>
      <c r="F48" s="3" t="str">
        <f>IFERROR(__xludf.DUMMYFUNCTION("REGEXREPLACE(E48, ""[^A-Za-z0-9]"", """")"),"MeansofTransportationtoWorkbyAge")</f>
        <v>MeansofTransportationtoWorkbyAge</v>
      </c>
      <c r="G48" s="4" t="s">
        <v>15</v>
      </c>
      <c r="H48" s="7" t="s">
        <v>241</v>
      </c>
      <c r="I48" s="1" t="s">
        <v>242</v>
      </c>
      <c r="J48" s="1" t="s">
        <v>243</v>
      </c>
      <c r="K48" s="1"/>
      <c r="L48" s="1" t="s">
        <v>244</v>
      </c>
      <c r="M48" s="3" t="str">
        <f>IFERROR(__xludf.DUMMYFUNCTION("REGEXREPLACE(L48, ""[^A-Za-z0-9]"", """")"),"Walked65yearsandover")</f>
        <v>Walked65yearsandover</v>
      </c>
      <c r="N48" s="1" t="s">
        <v>245</v>
      </c>
      <c r="O48" s="1" t="str">
        <f t="shared" si="1"/>
        <v>TranstoWorkWalked65yearsandover = 'B08101_040',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2" t="s">
        <v>10</v>
      </c>
      <c r="B49" s="6"/>
      <c r="C49" s="1" t="s">
        <v>12</v>
      </c>
      <c r="D49" s="1" t="s">
        <v>13</v>
      </c>
      <c r="E49" s="5" t="s">
        <v>52</v>
      </c>
      <c r="F49" s="3" t="str">
        <f>IFERROR(__xludf.DUMMYFUNCTION("REGEXREPLACE(E49, ""[^A-Za-z0-9]"", """")"),"MeansofTransportationtoWorkbyAge")</f>
        <v>MeansofTransportationtoWorkbyAge</v>
      </c>
      <c r="G49" s="4" t="s">
        <v>15</v>
      </c>
      <c r="H49" s="7" t="s">
        <v>246</v>
      </c>
      <c r="I49" s="1" t="s">
        <v>247</v>
      </c>
      <c r="J49" s="1" t="s">
        <v>248</v>
      </c>
      <c r="K49" s="1"/>
      <c r="L49" s="1" t="s">
        <v>249</v>
      </c>
      <c r="M49" s="3" t="str">
        <f>IFERROR(__xludf.DUMMYFUNCTION("REGEXREPLACE(L49, ""[^A-Za-z0-9]"", """")"),"Taxicabmotorcyclebicycleorothermeans")</f>
        <v>Taxicabmotorcyclebicycleorothermeans</v>
      </c>
      <c r="N49" s="1" t="s">
        <v>45</v>
      </c>
      <c r="O49" s="1" t="str">
        <f t="shared" si="1"/>
        <v>TranstoWorkTaxicabmotorcyclebicycleorothermeans = 'B08101_041',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2" t="s">
        <v>10</v>
      </c>
      <c r="B50" s="6"/>
      <c r="C50" s="1" t="s">
        <v>12</v>
      </c>
      <c r="D50" s="1" t="s">
        <v>13</v>
      </c>
      <c r="E50" s="5" t="s">
        <v>52</v>
      </c>
      <c r="F50" s="3" t="str">
        <f>IFERROR(__xludf.DUMMYFUNCTION("REGEXREPLACE(E50, ""[^A-Za-z0-9]"", """")"),"MeansofTransportationtoWorkbyAge")</f>
        <v>MeansofTransportationtoWorkbyAge</v>
      </c>
      <c r="G50" s="4" t="s">
        <v>15</v>
      </c>
      <c r="H50" s="7" t="s">
        <v>250</v>
      </c>
      <c r="I50" s="1" t="s">
        <v>251</v>
      </c>
      <c r="J50" s="1" t="s">
        <v>252</v>
      </c>
      <c r="K50" s="1"/>
      <c r="L50" s="1" t="s">
        <v>253</v>
      </c>
      <c r="M50" s="3" t="str">
        <f>IFERROR(__xludf.DUMMYFUNCTION("REGEXREPLACE(L50, ""[^A-Za-z0-9]"", """")"),"Taxicabmotorcyclebicycleorothermeans16to19years")</f>
        <v>Taxicabmotorcyclebicycleorothermeans16to19years</v>
      </c>
      <c r="N50" s="1" t="s">
        <v>254</v>
      </c>
      <c r="O50" s="1" t="str">
        <f t="shared" si="1"/>
        <v>TranstoWorkTaxicabmotorcyclebicycleorothermeans16to19years = 'B08101_042',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2" t="s">
        <v>10</v>
      </c>
      <c r="B51" s="6"/>
      <c r="C51" s="1" t="s">
        <v>12</v>
      </c>
      <c r="D51" s="1" t="s">
        <v>13</v>
      </c>
      <c r="E51" s="5" t="s">
        <v>52</v>
      </c>
      <c r="F51" s="3" t="str">
        <f>IFERROR(__xludf.DUMMYFUNCTION("REGEXREPLACE(E51, ""[^A-Za-z0-9]"", """")"),"MeansofTransportationtoWorkbyAge")</f>
        <v>MeansofTransportationtoWorkbyAge</v>
      </c>
      <c r="G51" s="4" t="s">
        <v>15</v>
      </c>
      <c r="H51" s="7" t="s">
        <v>255</v>
      </c>
      <c r="I51" s="1" t="s">
        <v>256</v>
      </c>
      <c r="J51" s="1" t="s">
        <v>257</v>
      </c>
      <c r="K51" s="1"/>
      <c r="L51" s="1" t="s">
        <v>258</v>
      </c>
      <c r="M51" s="3" t="str">
        <f>IFERROR(__xludf.DUMMYFUNCTION("REGEXREPLACE(L51, ""[^A-Za-z0-9]"", """")"),"Taxicabmotorcyclebicycleorothermeans20to24years")</f>
        <v>Taxicabmotorcyclebicycleorothermeans20to24years</v>
      </c>
      <c r="N51" s="1" t="s">
        <v>259</v>
      </c>
      <c r="O51" s="1" t="str">
        <f t="shared" si="1"/>
        <v>TranstoWorkTaxicabmotorcyclebicycleorothermeans20to24years = 'B08101_043',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2" t="s">
        <v>10</v>
      </c>
      <c r="B52" s="6"/>
      <c r="C52" s="1" t="s">
        <v>12</v>
      </c>
      <c r="D52" s="1" t="s">
        <v>13</v>
      </c>
      <c r="E52" s="5" t="s">
        <v>52</v>
      </c>
      <c r="F52" s="3" t="str">
        <f>IFERROR(__xludf.DUMMYFUNCTION("REGEXREPLACE(E52, ""[^A-Za-z0-9]"", """")"),"MeansofTransportationtoWorkbyAge")</f>
        <v>MeansofTransportationtoWorkbyAge</v>
      </c>
      <c r="G52" s="4" t="s">
        <v>15</v>
      </c>
      <c r="H52" s="7" t="s">
        <v>260</v>
      </c>
      <c r="I52" s="1" t="s">
        <v>261</v>
      </c>
      <c r="J52" s="1" t="s">
        <v>262</v>
      </c>
      <c r="K52" s="1"/>
      <c r="L52" s="1" t="s">
        <v>263</v>
      </c>
      <c r="M52" s="3" t="str">
        <f>IFERROR(__xludf.DUMMYFUNCTION("REGEXREPLACE(L52, ""[^A-Za-z0-9]"", """")"),"Taxicabmotorcyclebicycleorothermeans25to44years")</f>
        <v>Taxicabmotorcyclebicycleorothermeans25to44years</v>
      </c>
      <c r="N52" s="1" t="s">
        <v>264</v>
      </c>
      <c r="O52" s="1" t="str">
        <f t="shared" si="1"/>
        <v>TranstoWorkTaxicabmotorcyclebicycleorothermeans25to44years = 'B08101_044',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2" t="s">
        <v>10</v>
      </c>
      <c r="B53" s="6"/>
      <c r="C53" s="1" t="s">
        <v>12</v>
      </c>
      <c r="D53" s="1" t="s">
        <v>13</v>
      </c>
      <c r="E53" s="5" t="s">
        <v>52</v>
      </c>
      <c r="F53" s="3" t="str">
        <f>IFERROR(__xludf.DUMMYFUNCTION("REGEXREPLACE(E53, ""[^A-Za-z0-9]"", """")"),"MeansofTransportationtoWorkbyAge")</f>
        <v>MeansofTransportationtoWorkbyAge</v>
      </c>
      <c r="G53" s="4" t="s">
        <v>15</v>
      </c>
      <c r="H53" s="7" t="s">
        <v>265</v>
      </c>
      <c r="I53" s="1" t="s">
        <v>266</v>
      </c>
      <c r="J53" s="1" t="s">
        <v>267</v>
      </c>
      <c r="K53" s="1"/>
      <c r="L53" s="1" t="s">
        <v>268</v>
      </c>
      <c r="M53" s="3" t="str">
        <f>IFERROR(__xludf.DUMMYFUNCTION("REGEXREPLACE(L53, ""[^A-Za-z0-9]"", """")"),"Taxicabmotorcyclebicycleorothermeans45to54years")</f>
        <v>Taxicabmotorcyclebicycleorothermeans45to54years</v>
      </c>
      <c r="N53" s="1" t="s">
        <v>269</v>
      </c>
      <c r="O53" s="1" t="str">
        <f t="shared" si="1"/>
        <v>TranstoWorkTaxicabmotorcyclebicycleorothermeans45to54years = 'B08101_045',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2" t="s">
        <v>10</v>
      </c>
      <c r="B54" s="6"/>
      <c r="C54" s="1" t="s">
        <v>12</v>
      </c>
      <c r="D54" s="1" t="s">
        <v>13</v>
      </c>
      <c r="E54" s="5" t="s">
        <v>52</v>
      </c>
      <c r="F54" s="3" t="str">
        <f>IFERROR(__xludf.DUMMYFUNCTION("REGEXREPLACE(E54, ""[^A-Za-z0-9]"", """")"),"MeansofTransportationtoWorkbyAge")</f>
        <v>MeansofTransportationtoWorkbyAge</v>
      </c>
      <c r="G54" s="4" t="s">
        <v>15</v>
      </c>
      <c r="H54" s="7" t="s">
        <v>270</v>
      </c>
      <c r="I54" s="1" t="s">
        <v>271</v>
      </c>
      <c r="J54" s="1" t="s">
        <v>272</v>
      </c>
      <c r="K54" s="1"/>
      <c r="L54" s="1" t="s">
        <v>273</v>
      </c>
      <c r="M54" s="3" t="str">
        <f>IFERROR(__xludf.DUMMYFUNCTION("REGEXREPLACE(L54, ""[^A-Za-z0-9]"", """")"),"Taxicabmotorcyclebicycleorothermeans55to59years")</f>
        <v>Taxicabmotorcyclebicycleorothermeans55to59years</v>
      </c>
      <c r="N54" s="1" t="s">
        <v>274</v>
      </c>
      <c r="O54" s="1" t="str">
        <f t="shared" si="1"/>
        <v>TranstoWorkTaxicabmotorcyclebicycleorothermeans55to59years = 'B08101_046',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2" t="s">
        <v>10</v>
      </c>
      <c r="B55" s="6"/>
      <c r="C55" s="1" t="s">
        <v>12</v>
      </c>
      <c r="D55" s="1" t="s">
        <v>13</v>
      </c>
      <c r="E55" s="5" t="s">
        <v>52</v>
      </c>
      <c r="F55" s="3" t="str">
        <f>IFERROR(__xludf.DUMMYFUNCTION("REGEXREPLACE(E55, ""[^A-Za-z0-9]"", """")"),"MeansofTransportationtoWorkbyAge")</f>
        <v>MeansofTransportationtoWorkbyAge</v>
      </c>
      <c r="G55" s="4" t="s">
        <v>15</v>
      </c>
      <c r="H55" s="7" t="s">
        <v>275</v>
      </c>
      <c r="I55" s="1" t="s">
        <v>276</v>
      </c>
      <c r="J55" s="1" t="s">
        <v>277</v>
      </c>
      <c r="K55" s="1"/>
      <c r="L55" s="1" t="s">
        <v>278</v>
      </c>
      <c r="M55" s="3" t="str">
        <f>IFERROR(__xludf.DUMMYFUNCTION("REGEXREPLACE(L55, ""[^A-Za-z0-9]"", """")"),"Taxicabmotorcyclebicycleorothermeans60to64years")</f>
        <v>Taxicabmotorcyclebicycleorothermeans60to64years</v>
      </c>
      <c r="N55" s="1" t="s">
        <v>279</v>
      </c>
      <c r="O55" s="1" t="str">
        <f t="shared" si="1"/>
        <v>TranstoWorkTaxicabmotorcyclebicycleorothermeans60to64years = 'B08101_047',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2" t="s">
        <v>10</v>
      </c>
      <c r="B56" s="6"/>
      <c r="C56" s="1" t="s">
        <v>12</v>
      </c>
      <c r="D56" s="1" t="s">
        <v>13</v>
      </c>
      <c r="E56" s="5" t="s">
        <v>52</v>
      </c>
      <c r="F56" s="3" t="str">
        <f>IFERROR(__xludf.DUMMYFUNCTION("REGEXREPLACE(E56, ""[^A-Za-z0-9]"", """")"),"MeansofTransportationtoWorkbyAge")</f>
        <v>MeansofTransportationtoWorkbyAge</v>
      </c>
      <c r="G56" s="4" t="s">
        <v>15</v>
      </c>
      <c r="H56" s="7" t="s">
        <v>280</v>
      </c>
      <c r="I56" s="1" t="s">
        <v>281</v>
      </c>
      <c r="J56" s="1" t="s">
        <v>282</v>
      </c>
      <c r="K56" s="1"/>
      <c r="L56" s="1" t="s">
        <v>283</v>
      </c>
      <c r="M56" s="3" t="str">
        <f>IFERROR(__xludf.DUMMYFUNCTION("REGEXREPLACE(L56, ""[^A-Za-z0-9]"", """")"),"Taxicabmotorcyclebicycleorothermeans65yearsandover")</f>
        <v>Taxicabmotorcyclebicycleorothermeans65yearsandover</v>
      </c>
      <c r="N56" s="1" t="s">
        <v>284</v>
      </c>
      <c r="O56" s="1" t="str">
        <f t="shared" si="1"/>
        <v>TranstoWorkTaxicabmotorcyclebicycleorothermeans65yearsandover = 'B08101_048',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2" t="s">
        <v>10</v>
      </c>
      <c r="B57" s="6"/>
      <c r="C57" s="1" t="s">
        <v>12</v>
      </c>
      <c r="D57" s="1" t="s">
        <v>13</v>
      </c>
      <c r="E57" s="5" t="s">
        <v>52</v>
      </c>
      <c r="F57" s="3" t="str">
        <f>IFERROR(__xludf.DUMMYFUNCTION("REGEXREPLACE(E57, ""[^A-Za-z0-9]"", """")"),"MeansofTransportationtoWorkbyAge")</f>
        <v>MeansofTransportationtoWorkbyAge</v>
      </c>
      <c r="G57" s="4" t="s">
        <v>15</v>
      </c>
      <c r="H57" s="7" t="s">
        <v>46</v>
      </c>
      <c r="I57" s="1" t="s">
        <v>285</v>
      </c>
      <c r="J57" s="1" t="s">
        <v>286</v>
      </c>
      <c r="K57" s="1"/>
      <c r="L57" s="1" t="s">
        <v>49</v>
      </c>
      <c r="M57" s="3" t="str">
        <f>IFERROR(__xludf.DUMMYFUNCTION("REGEXREPLACE(L57, ""[^A-Za-z0-9]"", """")"),"Workedfromhome")</f>
        <v>Workedfromhome</v>
      </c>
      <c r="N57" s="1" t="s">
        <v>50</v>
      </c>
      <c r="O57" s="1" t="str">
        <f t="shared" si="1"/>
        <v>TranstoWorkWorkedfromhome = 'B08101_049',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2" t="s">
        <v>10</v>
      </c>
      <c r="B58" s="6"/>
      <c r="C58" s="1" t="s">
        <v>12</v>
      </c>
      <c r="D58" s="1" t="s">
        <v>13</v>
      </c>
      <c r="E58" s="5" t="s">
        <v>52</v>
      </c>
      <c r="F58" s="3" t="str">
        <f>IFERROR(__xludf.DUMMYFUNCTION("REGEXREPLACE(E58, ""[^A-Za-z0-9]"", """")"),"MeansofTransportationtoWorkbyAge")</f>
        <v>MeansofTransportationtoWorkbyAge</v>
      </c>
      <c r="G58" s="4" t="s">
        <v>15</v>
      </c>
      <c r="H58" s="7" t="s">
        <v>287</v>
      </c>
      <c r="I58" s="1" t="s">
        <v>288</v>
      </c>
      <c r="J58" s="1" t="s">
        <v>289</v>
      </c>
      <c r="K58" s="1"/>
      <c r="L58" s="1" t="s">
        <v>290</v>
      </c>
      <c r="M58" s="3" t="str">
        <f>IFERROR(__xludf.DUMMYFUNCTION("REGEXREPLACE(L58, ""[^A-Za-z0-9]"", """")"),"Workedfromhome16to19years")</f>
        <v>Workedfromhome16to19years</v>
      </c>
      <c r="N58" s="1" t="s">
        <v>291</v>
      </c>
      <c r="O58" s="1" t="str">
        <f t="shared" si="1"/>
        <v>TranstoWorkWorkedfromhome16to19years = 'B08101_050',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2" t="s">
        <v>10</v>
      </c>
      <c r="B59" s="6"/>
      <c r="C59" s="1" t="s">
        <v>12</v>
      </c>
      <c r="D59" s="1" t="s">
        <v>13</v>
      </c>
      <c r="E59" s="5" t="s">
        <v>52</v>
      </c>
      <c r="F59" s="3" t="str">
        <f>IFERROR(__xludf.DUMMYFUNCTION("REGEXREPLACE(E59, ""[^A-Za-z0-9]"", """")"),"MeansofTransportationtoWorkbyAge")</f>
        <v>MeansofTransportationtoWorkbyAge</v>
      </c>
      <c r="G59" s="4" t="s">
        <v>15</v>
      </c>
      <c r="H59" s="7" t="s">
        <v>292</v>
      </c>
      <c r="I59" s="1" t="s">
        <v>293</v>
      </c>
      <c r="J59" s="1" t="s">
        <v>294</v>
      </c>
      <c r="K59" s="1"/>
      <c r="L59" s="1" t="s">
        <v>295</v>
      </c>
      <c r="M59" s="3" t="str">
        <f>IFERROR(__xludf.DUMMYFUNCTION("REGEXREPLACE(L59, ""[^A-Za-z0-9]"", """")"),"Workedfromhome20to24years")</f>
        <v>Workedfromhome20to24years</v>
      </c>
      <c r="N59" s="1" t="s">
        <v>296</v>
      </c>
      <c r="O59" s="1" t="str">
        <f t="shared" si="1"/>
        <v>TranstoWorkWorkedfromhome20to24years = 'B08101_051',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2" t="s">
        <v>10</v>
      </c>
      <c r="B60" s="6"/>
      <c r="C60" s="1" t="s">
        <v>12</v>
      </c>
      <c r="D60" s="1" t="s">
        <v>13</v>
      </c>
      <c r="E60" s="5" t="s">
        <v>52</v>
      </c>
      <c r="F60" s="3" t="str">
        <f>IFERROR(__xludf.DUMMYFUNCTION("REGEXREPLACE(E60, ""[^A-Za-z0-9]"", """")"),"MeansofTransportationtoWorkbyAge")</f>
        <v>MeansofTransportationtoWorkbyAge</v>
      </c>
      <c r="G60" s="4" t="s">
        <v>15</v>
      </c>
      <c r="H60" s="7" t="s">
        <v>297</v>
      </c>
      <c r="I60" s="1" t="s">
        <v>298</v>
      </c>
      <c r="J60" s="1" t="s">
        <v>299</v>
      </c>
      <c r="K60" s="1"/>
      <c r="L60" s="1" t="s">
        <v>300</v>
      </c>
      <c r="M60" s="3" t="str">
        <f>IFERROR(__xludf.DUMMYFUNCTION("REGEXREPLACE(L60, ""[^A-Za-z0-9]"", """")"),"Workedfromhome25to44years")</f>
        <v>Workedfromhome25to44years</v>
      </c>
      <c r="N60" s="1" t="s">
        <v>301</v>
      </c>
      <c r="O60" s="1" t="str">
        <f t="shared" si="1"/>
        <v>TranstoWorkWorkedfromhome25to44years = 'B08101_052',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2" t="s">
        <v>10</v>
      </c>
      <c r="B61" s="6"/>
      <c r="C61" s="1" t="s">
        <v>12</v>
      </c>
      <c r="D61" s="1" t="s">
        <v>13</v>
      </c>
      <c r="E61" s="5" t="s">
        <v>52</v>
      </c>
      <c r="F61" s="3" t="str">
        <f>IFERROR(__xludf.DUMMYFUNCTION("REGEXREPLACE(E61, ""[^A-Za-z0-9]"", """")"),"MeansofTransportationtoWorkbyAge")</f>
        <v>MeansofTransportationtoWorkbyAge</v>
      </c>
      <c r="G61" s="4" t="s">
        <v>15</v>
      </c>
      <c r="H61" s="7" t="s">
        <v>302</v>
      </c>
      <c r="I61" s="1" t="s">
        <v>303</v>
      </c>
      <c r="J61" s="1" t="s">
        <v>304</v>
      </c>
      <c r="K61" s="1"/>
      <c r="L61" s="1" t="s">
        <v>305</v>
      </c>
      <c r="M61" s="3" t="str">
        <f>IFERROR(__xludf.DUMMYFUNCTION("REGEXREPLACE(L61, ""[^A-Za-z0-9]"", """")"),"Workedfromhome45to54years")</f>
        <v>Workedfromhome45to54years</v>
      </c>
      <c r="N61" s="1" t="s">
        <v>306</v>
      </c>
      <c r="O61" s="1" t="str">
        <f t="shared" si="1"/>
        <v>TranstoWorkWorkedfromhome45to54years = 'B08101_053',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2" t="s">
        <v>10</v>
      </c>
      <c r="B62" s="6"/>
      <c r="C62" s="1" t="s">
        <v>12</v>
      </c>
      <c r="D62" s="1" t="s">
        <v>13</v>
      </c>
      <c r="E62" s="5" t="s">
        <v>52</v>
      </c>
      <c r="F62" s="3" t="str">
        <f>IFERROR(__xludf.DUMMYFUNCTION("REGEXREPLACE(E62, ""[^A-Za-z0-9]"", """")"),"MeansofTransportationtoWorkbyAge")</f>
        <v>MeansofTransportationtoWorkbyAge</v>
      </c>
      <c r="G62" s="4" t="s">
        <v>15</v>
      </c>
      <c r="H62" s="7" t="s">
        <v>307</v>
      </c>
      <c r="I62" s="1" t="s">
        <v>308</v>
      </c>
      <c r="J62" s="1" t="s">
        <v>309</v>
      </c>
      <c r="K62" s="1"/>
      <c r="L62" s="1" t="s">
        <v>310</v>
      </c>
      <c r="M62" s="3" t="str">
        <f>IFERROR(__xludf.DUMMYFUNCTION("REGEXREPLACE(L62, ""[^A-Za-z0-9]"", """")"),"Workedfromhome55to59years")</f>
        <v>Workedfromhome55to59years</v>
      </c>
      <c r="N62" s="1" t="s">
        <v>311</v>
      </c>
      <c r="O62" s="1" t="str">
        <f t="shared" si="1"/>
        <v>TranstoWorkWorkedfromhome55to59years = 'B08101_054',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2" t="s">
        <v>10</v>
      </c>
      <c r="B63" s="6"/>
      <c r="C63" s="1" t="s">
        <v>12</v>
      </c>
      <c r="D63" s="1" t="s">
        <v>13</v>
      </c>
      <c r="E63" s="5" t="s">
        <v>52</v>
      </c>
      <c r="F63" s="3" t="str">
        <f>IFERROR(__xludf.DUMMYFUNCTION("REGEXREPLACE(E63, ""[^A-Za-z0-9]"", """")"),"MeansofTransportationtoWorkbyAge")</f>
        <v>MeansofTransportationtoWorkbyAge</v>
      </c>
      <c r="G63" s="4" t="s">
        <v>15</v>
      </c>
      <c r="H63" s="7" t="s">
        <v>312</v>
      </c>
      <c r="I63" s="1" t="s">
        <v>313</v>
      </c>
      <c r="J63" s="1" t="s">
        <v>314</v>
      </c>
      <c r="K63" s="1"/>
      <c r="L63" s="1" t="s">
        <v>315</v>
      </c>
      <c r="M63" s="3" t="str">
        <f>IFERROR(__xludf.DUMMYFUNCTION("REGEXREPLACE(L63, ""[^A-Za-z0-9]"", """")"),"Workedfromhome60to64years")</f>
        <v>Workedfromhome60to64years</v>
      </c>
      <c r="N63" s="1" t="s">
        <v>316</v>
      </c>
      <c r="O63" s="1" t="str">
        <f t="shared" si="1"/>
        <v>TranstoWorkWorkedfromhome60to64years = 'B08101_055',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2" t="s">
        <v>10</v>
      </c>
      <c r="B64" s="6"/>
      <c r="C64" s="1" t="s">
        <v>12</v>
      </c>
      <c r="D64" s="1" t="s">
        <v>13</v>
      </c>
      <c r="E64" s="5" t="s">
        <v>52</v>
      </c>
      <c r="F64" s="3" t="str">
        <f>IFERROR(__xludf.DUMMYFUNCTION("REGEXREPLACE(E64, ""[^A-Za-z0-9]"", """")"),"MeansofTransportationtoWorkbyAge")</f>
        <v>MeansofTransportationtoWorkbyAge</v>
      </c>
      <c r="G64" s="4" t="s">
        <v>15</v>
      </c>
      <c r="H64" s="7" t="s">
        <v>317</v>
      </c>
      <c r="I64" s="1" t="s">
        <v>318</v>
      </c>
      <c r="J64" s="1" t="s">
        <v>319</v>
      </c>
      <c r="K64" s="1"/>
      <c r="L64" s="1" t="s">
        <v>320</v>
      </c>
      <c r="M64" s="3" t="str">
        <f>IFERROR(__xludf.DUMMYFUNCTION("REGEXREPLACE(L64, ""[^A-Za-z0-9]"", """")"),"Workedfromhome65yearsandover")</f>
        <v>Workedfromhome65yearsandover</v>
      </c>
      <c r="N64" s="1" t="s">
        <v>321</v>
      </c>
      <c r="O64" s="1" t="str">
        <f t="shared" si="1"/>
        <v>TranstoWorkWorkedfromhome65yearsandover = 'B08101_056',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2" t="s">
        <v>10</v>
      </c>
      <c r="B65" s="6" t="s">
        <v>322</v>
      </c>
      <c r="C65" s="1" t="s">
        <v>12</v>
      </c>
      <c r="D65" s="1" t="s">
        <v>13</v>
      </c>
      <c r="E65" s="5" t="s">
        <v>323</v>
      </c>
      <c r="F65" s="3" t="str">
        <f>IFERROR(__xludf.DUMMYFUNCTION("REGEXREPLACE(E65, ""[^A-Za-z0-9]"", """")"),"SexofWorkersbyTravelTimetoWork")</f>
        <v>SexofWorkersbyTravelTimetoWork</v>
      </c>
      <c r="G65" s="5" t="s">
        <v>324</v>
      </c>
      <c r="H65" s="5" t="s">
        <v>16</v>
      </c>
      <c r="I65" s="1" t="s">
        <v>325</v>
      </c>
      <c r="J65" s="1" t="s">
        <v>326</v>
      </c>
      <c r="K65" s="1"/>
      <c r="L65" s="1" t="s">
        <v>20</v>
      </c>
      <c r="M65" s="3" t="str">
        <f>IFERROR(__xludf.DUMMYFUNCTION("REGEXREPLACE(L65, ""[^A-Za-z0-9]"", """")"),"")</f>
        <v/>
      </c>
      <c r="N65" s="1" t="s">
        <v>324</v>
      </c>
      <c r="O65" s="1" t="str">
        <f t="shared" si="1"/>
        <v>TravTimeToWork = 'B08012_001',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2" t="s">
        <v>10</v>
      </c>
      <c r="B66" s="6"/>
      <c r="C66" s="1" t="s">
        <v>12</v>
      </c>
      <c r="D66" s="1" t="s">
        <v>13</v>
      </c>
      <c r="E66" s="5" t="s">
        <v>323</v>
      </c>
      <c r="F66" s="3" t="str">
        <f>IFERROR(__xludf.DUMMYFUNCTION("REGEXREPLACE(E66, ""[^A-Za-z0-9]"", """")"),"SexofWorkersbyTravelTimetoWork")</f>
        <v>SexofWorkersbyTravelTimetoWork</v>
      </c>
      <c r="G66" s="5" t="s">
        <v>324</v>
      </c>
      <c r="H66" s="8" t="s">
        <v>327</v>
      </c>
      <c r="I66" s="1" t="s">
        <v>328</v>
      </c>
      <c r="J66" s="1" t="s">
        <v>329</v>
      </c>
      <c r="K66" s="1"/>
      <c r="L66" s="1" t="s">
        <v>330</v>
      </c>
      <c r="M66" s="3" t="str">
        <f>IFERROR(__xludf.DUMMYFUNCTION("REGEXREPLACE(L66, ""[^A-Za-z0-9]"", """")"),"Lessthan5minutes")</f>
        <v>Lessthan5minutes</v>
      </c>
      <c r="N66" s="1" t="s">
        <v>331</v>
      </c>
      <c r="O66" s="1" t="str">
        <f t="shared" si="1"/>
        <v>TravTimeToWorkLessthan5minutes = 'B08012_002',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2" t="s">
        <v>10</v>
      </c>
      <c r="B67" s="6"/>
      <c r="C67" s="1" t="s">
        <v>12</v>
      </c>
      <c r="D67" s="1" t="s">
        <v>13</v>
      </c>
      <c r="E67" s="5" t="s">
        <v>323</v>
      </c>
      <c r="F67" s="3" t="str">
        <f>IFERROR(__xludf.DUMMYFUNCTION("REGEXREPLACE(E67, ""[^A-Za-z0-9]"", """")"),"SexofWorkersbyTravelTimetoWork")</f>
        <v>SexofWorkersbyTravelTimetoWork</v>
      </c>
      <c r="G67" s="5" t="s">
        <v>324</v>
      </c>
      <c r="H67" s="8" t="s">
        <v>332</v>
      </c>
      <c r="I67" s="1" t="s">
        <v>333</v>
      </c>
      <c r="J67" s="1" t="s">
        <v>334</v>
      </c>
      <c r="K67" s="1"/>
      <c r="L67" s="1" t="s">
        <v>335</v>
      </c>
      <c r="M67" s="3" t="str">
        <f>IFERROR(__xludf.DUMMYFUNCTION("REGEXREPLACE(L67, ""[^A-Za-z0-9]"", """")"),"5to9minutes")</f>
        <v>5to9minutes</v>
      </c>
      <c r="N67" s="1" t="s">
        <v>336</v>
      </c>
      <c r="O67" s="1" t="str">
        <f t="shared" si="1"/>
        <v>TravTimeToWork5to9minutes = 'B08012_003',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2" t="s">
        <v>10</v>
      </c>
      <c r="B68" s="6"/>
      <c r="C68" s="1" t="s">
        <v>12</v>
      </c>
      <c r="D68" s="1" t="s">
        <v>13</v>
      </c>
      <c r="E68" s="5" t="s">
        <v>323</v>
      </c>
      <c r="F68" s="3" t="str">
        <f>IFERROR(__xludf.DUMMYFUNCTION("REGEXREPLACE(E68, ""[^A-Za-z0-9]"", """")"),"SexofWorkersbyTravelTimetoWork")</f>
        <v>SexofWorkersbyTravelTimetoWork</v>
      </c>
      <c r="G68" s="5" t="s">
        <v>324</v>
      </c>
      <c r="H68" s="8" t="s">
        <v>337</v>
      </c>
      <c r="I68" s="1" t="s">
        <v>338</v>
      </c>
      <c r="J68" s="1" t="s">
        <v>339</v>
      </c>
      <c r="K68" s="1"/>
      <c r="L68" s="1" t="s">
        <v>340</v>
      </c>
      <c r="M68" s="3" t="str">
        <f>IFERROR(__xludf.DUMMYFUNCTION("REGEXREPLACE(L68, ""[^A-Za-z0-9]"", """")"),"10to14minutes")</f>
        <v>10to14minutes</v>
      </c>
      <c r="N68" s="1" t="s">
        <v>341</v>
      </c>
      <c r="O68" s="1" t="str">
        <f t="shared" si="1"/>
        <v>TravTimeToWork10to14minutes = 'B08012_004',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2" t="s">
        <v>10</v>
      </c>
      <c r="B69" s="6"/>
      <c r="C69" s="1" t="s">
        <v>12</v>
      </c>
      <c r="D69" s="1" t="s">
        <v>13</v>
      </c>
      <c r="E69" s="5" t="s">
        <v>323</v>
      </c>
      <c r="F69" s="3" t="str">
        <f>IFERROR(__xludf.DUMMYFUNCTION("REGEXREPLACE(E69, ""[^A-Za-z0-9]"", """")"),"SexofWorkersbyTravelTimetoWork")</f>
        <v>SexofWorkersbyTravelTimetoWork</v>
      </c>
      <c r="G69" s="5" t="s">
        <v>324</v>
      </c>
      <c r="H69" s="8" t="s">
        <v>342</v>
      </c>
      <c r="I69" s="1" t="s">
        <v>343</v>
      </c>
      <c r="J69" s="1" t="s">
        <v>344</v>
      </c>
      <c r="K69" s="1"/>
      <c r="L69" s="1" t="s">
        <v>345</v>
      </c>
      <c r="M69" s="3" t="str">
        <f>IFERROR(__xludf.DUMMYFUNCTION("REGEXREPLACE(L69, ""[^A-Za-z0-9]"", """")"),"15to19minutes")</f>
        <v>15to19minutes</v>
      </c>
      <c r="N69" s="1" t="s">
        <v>346</v>
      </c>
      <c r="O69" s="1" t="str">
        <f t="shared" si="1"/>
        <v>TravTimeToWork15to19minutes = 'B08012_005',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2" t="s">
        <v>10</v>
      </c>
      <c r="B70" s="6"/>
      <c r="C70" s="1" t="s">
        <v>12</v>
      </c>
      <c r="D70" s="1" t="s">
        <v>13</v>
      </c>
      <c r="E70" s="5" t="s">
        <v>323</v>
      </c>
      <c r="F70" s="3" t="str">
        <f>IFERROR(__xludf.DUMMYFUNCTION("REGEXREPLACE(E70, ""[^A-Za-z0-9]"", """")"),"SexofWorkersbyTravelTimetoWork")</f>
        <v>SexofWorkersbyTravelTimetoWork</v>
      </c>
      <c r="G70" s="5" t="s">
        <v>324</v>
      </c>
      <c r="H70" s="8" t="s">
        <v>347</v>
      </c>
      <c r="I70" s="1" t="s">
        <v>348</v>
      </c>
      <c r="J70" s="1" t="s">
        <v>349</v>
      </c>
      <c r="K70" s="1"/>
      <c r="L70" s="1" t="s">
        <v>350</v>
      </c>
      <c r="M70" s="3" t="str">
        <f>IFERROR(__xludf.DUMMYFUNCTION("REGEXREPLACE(L70, ""[^A-Za-z0-9]"", """")"),"20to24minutes")</f>
        <v>20to24minutes</v>
      </c>
      <c r="N70" s="1" t="s">
        <v>351</v>
      </c>
      <c r="O70" s="1" t="str">
        <f t="shared" si="1"/>
        <v>TravTimeToWork20to24minutes = 'B08012_006',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2" t="s">
        <v>10</v>
      </c>
      <c r="B71" s="6"/>
      <c r="C71" s="1" t="s">
        <v>12</v>
      </c>
      <c r="D71" s="1" t="s">
        <v>13</v>
      </c>
      <c r="E71" s="5" t="s">
        <v>323</v>
      </c>
      <c r="F71" s="3" t="str">
        <f>IFERROR(__xludf.DUMMYFUNCTION("REGEXREPLACE(E71, ""[^A-Za-z0-9]"", """")"),"SexofWorkersbyTravelTimetoWork")</f>
        <v>SexofWorkersbyTravelTimetoWork</v>
      </c>
      <c r="G71" s="5" t="s">
        <v>324</v>
      </c>
      <c r="H71" s="8" t="s">
        <v>352</v>
      </c>
      <c r="I71" s="1" t="s">
        <v>353</v>
      </c>
      <c r="J71" s="1" t="s">
        <v>354</v>
      </c>
      <c r="K71" s="1"/>
      <c r="L71" s="1" t="s">
        <v>355</v>
      </c>
      <c r="M71" s="3" t="str">
        <f>IFERROR(__xludf.DUMMYFUNCTION("REGEXREPLACE(L71, ""[^A-Za-z0-9]"", """")"),"25to29minutes")</f>
        <v>25to29minutes</v>
      </c>
      <c r="N71" s="1" t="s">
        <v>356</v>
      </c>
      <c r="O71" s="1" t="str">
        <f t="shared" si="1"/>
        <v>TravTimeToWork25to29minutes = 'B08012_007',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2" t="s">
        <v>10</v>
      </c>
      <c r="B72" s="6"/>
      <c r="C72" s="1" t="s">
        <v>12</v>
      </c>
      <c r="D72" s="1" t="s">
        <v>13</v>
      </c>
      <c r="E72" s="5" t="s">
        <v>323</v>
      </c>
      <c r="F72" s="3" t="str">
        <f>IFERROR(__xludf.DUMMYFUNCTION("REGEXREPLACE(E72, ""[^A-Za-z0-9]"", """")"),"SexofWorkersbyTravelTimetoWork")</f>
        <v>SexofWorkersbyTravelTimetoWork</v>
      </c>
      <c r="G72" s="5" t="s">
        <v>324</v>
      </c>
      <c r="H72" s="8" t="s">
        <v>357</v>
      </c>
      <c r="I72" s="1" t="s">
        <v>358</v>
      </c>
      <c r="J72" s="1" t="s">
        <v>359</v>
      </c>
      <c r="K72" s="1"/>
      <c r="L72" s="1" t="s">
        <v>360</v>
      </c>
      <c r="M72" s="3" t="str">
        <f>IFERROR(__xludf.DUMMYFUNCTION("REGEXREPLACE(L72, ""[^A-Za-z0-9]"", """")"),"30to34minutes")</f>
        <v>30to34minutes</v>
      </c>
      <c r="N72" s="1" t="s">
        <v>361</v>
      </c>
      <c r="O72" s="1" t="str">
        <f t="shared" si="1"/>
        <v>TravTimeToWork30to34minutes = 'B08012_008',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2" t="s">
        <v>10</v>
      </c>
      <c r="B73" s="6"/>
      <c r="C73" s="1" t="s">
        <v>12</v>
      </c>
      <c r="D73" s="1" t="s">
        <v>13</v>
      </c>
      <c r="E73" s="5" t="s">
        <v>323</v>
      </c>
      <c r="F73" s="3" t="str">
        <f>IFERROR(__xludf.DUMMYFUNCTION("REGEXREPLACE(E73, ""[^A-Za-z0-9]"", """")"),"SexofWorkersbyTravelTimetoWork")</f>
        <v>SexofWorkersbyTravelTimetoWork</v>
      </c>
      <c r="G73" s="5" t="s">
        <v>324</v>
      </c>
      <c r="H73" s="8" t="s">
        <v>362</v>
      </c>
      <c r="I73" s="1" t="s">
        <v>363</v>
      </c>
      <c r="J73" s="1" t="s">
        <v>364</v>
      </c>
      <c r="K73" s="1"/>
      <c r="L73" s="1" t="s">
        <v>365</v>
      </c>
      <c r="M73" s="3" t="str">
        <f>IFERROR(__xludf.DUMMYFUNCTION("REGEXREPLACE(L73, ""[^A-Za-z0-9]"", """")"),"35to39minutes")</f>
        <v>35to39minutes</v>
      </c>
      <c r="N73" s="1" t="s">
        <v>366</v>
      </c>
      <c r="O73" s="1" t="str">
        <f t="shared" si="1"/>
        <v>TravTimeToWork35to39minutes = 'B08012_009',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2" t="s">
        <v>10</v>
      </c>
      <c r="B74" s="6"/>
      <c r="C74" s="1" t="s">
        <v>12</v>
      </c>
      <c r="D74" s="1" t="s">
        <v>13</v>
      </c>
      <c r="E74" s="5" t="s">
        <v>323</v>
      </c>
      <c r="F74" s="3" t="str">
        <f>IFERROR(__xludf.DUMMYFUNCTION("REGEXREPLACE(E74, ""[^A-Za-z0-9]"", """")"),"SexofWorkersbyTravelTimetoWork")</f>
        <v>SexofWorkersbyTravelTimetoWork</v>
      </c>
      <c r="G74" s="5" t="s">
        <v>324</v>
      </c>
      <c r="H74" s="8" t="s">
        <v>367</v>
      </c>
      <c r="I74" s="1" t="s">
        <v>368</v>
      </c>
      <c r="J74" s="1" t="s">
        <v>369</v>
      </c>
      <c r="K74" s="1"/>
      <c r="L74" s="1" t="s">
        <v>370</v>
      </c>
      <c r="M74" s="3" t="str">
        <f>IFERROR(__xludf.DUMMYFUNCTION("REGEXREPLACE(L74, ""[^A-Za-z0-9]"", """")"),"40to44minutes")</f>
        <v>40to44minutes</v>
      </c>
      <c r="N74" s="1" t="s">
        <v>371</v>
      </c>
      <c r="O74" s="1" t="str">
        <f t="shared" si="1"/>
        <v>TravTimeToWork40to44minutes = 'B08012_010',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2" t="s">
        <v>10</v>
      </c>
      <c r="B75" s="6"/>
      <c r="C75" s="1" t="s">
        <v>12</v>
      </c>
      <c r="D75" s="1" t="s">
        <v>13</v>
      </c>
      <c r="E75" s="5" t="s">
        <v>323</v>
      </c>
      <c r="F75" s="3" t="str">
        <f>IFERROR(__xludf.DUMMYFUNCTION("REGEXREPLACE(E75, ""[^A-Za-z0-9]"", """")"),"SexofWorkersbyTravelTimetoWork")</f>
        <v>SexofWorkersbyTravelTimetoWork</v>
      </c>
      <c r="G75" s="5" t="s">
        <v>324</v>
      </c>
      <c r="H75" s="8" t="s">
        <v>372</v>
      </c>
      <c r="I75" s="1" t="s">
        <v>373</v>
      </c>
      <c r="J75" s="1" t="s">
        <v>374</v>
      </c>
      <c r="K75" s="1"/>
      <c r="L75" s="1" t="s">
        <v>375</v>
      </c>
      <c r="M75" s="3" t="str">
        <f>IFERROR(__xludf.DUMMYFUNCTION("REGEXREPLACE(L75, ""[^A-Za-z0-9]"", """")"),"45to59minutes")</f>
        <v>45to59minutes</v>
      </c>
      <c r="N75" s="1" t="s">
        <v>376</v>
      </c>
      <c r="O75" s="1" t="str">
        <f t="shared" si="1"/>
        <v>TravTimeToWork45to59minutes = 'B08012_011',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2" t="s">
        <v>10</v>
      </c>
      <c r="B76" s="6"/>
      <c r="C76" s="1" t="s">
        <v>12</v>
      </c>
      <c r="D76" s="1" t="s">
        <v>13</v>
      </c>
      <c r="E76" s="5" t="s">
        <v>323</v>
      </c>
      <c r="F76" s="3" t="str">
        <f>IFERROR(__xludf.DUMMYFUNCTION("REGEXREPLACE(E76, ""[^A-Za-z0-9]"", """")"),"SexofWorkersbyTravelTimetoWork")</f>
        <v>SexofWorkersbyTravelTimetoWork</v>
      </c>
      <c r="G76" s="5" t="s">
        <v>324</v>
      </c>
      <c r="H76" s="8" t="s">
        <v>377</v>
      </c>
      <c r="I76" s="1" t="s">
        <v>378</v>
      </c>
      <c r="J76" s="1" t="s">
        <v>379</v>
      </c>
      <c r="K76" s="1"/>
      <c r="L76" s="1" t="s">
        <v>380</v>
      </c>
      <c r="M76" s="3" t="str">
        <f>IFERROR(__xludf.DUMMYFUNCTION("REGEXREPLACE(L76, ""[^A-Za-z0-9]"", """")"),"60to89minutes")</f>
        <v>60to89minutes</v>
      </c>
      <c r="N76" s="1" t="s">
        <v>381</v>
      </c>
      <c r="O76" s="1" t="str">
        <f t="shared" si="1"/>
        <v>TravTimeToWork60to89minutes = 'B08012_012',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2" t="s">
        <v>10</v>
      </c>
      <c r="B77" s="6"/>
      <c r="C77" s="1" t="s">
        <v>12</v>
      </c>
      <c r="D77" s="1" t="s">
        <v>13</v>
      </c>
      <c r="E77" s="5" t="s">
        <v>323</v>
      </c>
      <c r="F77" s="3" t="str">
        <f>IFERROR(__xludf.DUMMYFUNCTION("REGEXREPLACE(E77, ""[^A-Za-z0-9]"", """")"),"SexofWorkersbyTravelTimetoWork")</f>
        <v>SexofWorkersbyTravelTimetoWork</v>
      </c>
      <c r="G77" s="5" t="s">
        <v>324</v>
      </c>
      <c r="H77" s="8" t="s">
        <v>382</v>
      </c>
      <c r="I77" s="1" t="s">
        <v>383</v>
      </c>
      <c r="J77" s="1" t="s">
        <v>384</v>
      </c>
      <c r="K77" s="1"/>
      <c r="L77" s="1" t="s">
        <v>385</v>
      </c>
      <c r="M77" s="3" t="str">
        <f>IFERROR(__xludf.DUMMYFUNCTION("REGEXREPLACE(L77, ""[^A-Za-z0-9]"", """")"),"90ormoreminutes")</f>
        <v>90ormoreminutes</v>
      </c>
      <c r="N77" s="1" t="s">
        <v>386</v>
      </c>
      <c r="O77" s="1" t="str">
        <f t="shared" si="1"/>
        <v>TravTimeToWork90ormoreminutes = 'B08012_013',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2" t="s">
        <v>10</v>
      </c>
      <c r="B78" s="6"/>
      <c r="C78" s="1" t="s">
        <v>12</v>
      </c>
      <c r="D78" s="1" t="s">
        <v>13</v>
      </c>
      <c r="E78" s="5" t="s">
        <v>323</v>
      </c>
      <c r="F78" s="3" t="str">
        <f>IFERROR(__xludf.DUMMYFUNCTION("REGEXREPLACE(E78, ""[^A-Za-z0-9]"", """")"),"SexofWorkersbyTravelTimetoWork")</f>
        <v>SexofWorkersbyTravelTimetoWork</v>
      </c>
      <c r="G78" s="5" t="s">
        <v>324</v>
      </c>
      <c r="H78" s="8" t="s">
        <v>387</v>
      </c>
      <c r="I78" s="1" t="s">
        <v>388</v>
      </c>
      <c r="J78" s="1" t="s">
        <v>389</v>
      </c>
      <c r="K78" s="1"/>
      <c r="L78" s="1" t="s">
        <v>390</v>
      </c>
      <c r="M78" s="3" t="str">
        <f>IFERROR(__xludf.DUMMYFUNCTION("REGEXREPLACE(L78, ""[^A-Za-z0-9]"", """")"),"Male")</f>
        <v>Male</v>
      </c>
      <c r="N78" s="1" t="s">
        <v>391</v>
      </c>
      <c r="O78" s="1" t="str">
        <f t="shared" si="1"/>
        <v>TravTimeToWorkMale = 'B08012_014',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2" t="s">
        <v>10</v>
      </c>
      <c r="B79" s="6"/>
      <c r="C79" s="1" t="s">
        <v>12</v>
      </c>
      <c r="D79" s="1" t="s">
        <v>13</v>
      </c>
      <c r="E79" s="5" t="s">
        <v>323</v>
      </c>
      <c r="F79" s="3" t="str">
        <f>IFERROR(__xludf.DUMMYFUNCTION("REGEXREPLACE(E79, ""[^A-Za-z0-9]"", """")"),"SexofWorkersbyTravelTimetoWork")</f>
        <v>SexofWorkersbyTravelTimetoWork</v>
      </c>
      <c r="G79" s="5" t="s">
        <v>324</v>
      </c>
      <c r="H79" s="8" t="s">
        <v>392</v>
      </c>
      <c r="I79" s="1" t="s">
        <v>393</v>
      </c>
      <c r="J79" s="1" t="s">
        <v>394</v>
      </c>
      <c r="K79" s="1"/>
      <c r="L79" s="1" t="s">
        <v>395</v>
      </c>
      <c r="M79" s="3" t="str">
        <f>IFERROR(__xludf.DUMMYFUNCTION("REGEXREPLACE(L79, ""[^A-Za-z0-9]"", """")"),"MaleLessthan5minutes")</f>
        <v>MaleLessthan5minutes</v>
      </c>
      <c r="N79" s="1" t="s">
        <v>396</v>
      </c>
      <c r="O79" s="1" t="str">
        <f t="shared" si="1"/>
        <v>TravTimeToWorkMaleLessthan5minutes = 'B08012_015',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2" t="s">
        <v>10</v>
      </c>
      <c r="B80" s="6"/>
      <c r="C80" s="1" t="s">
        <v>12</v>
      </c>
      <c r="D80" s="1" t="s">
        <v>13</v>
      </c>
      <c r="E80" s="5" t="s">
        <v>323</v>
      </c>
      <c r="F80" s="3" t="str">
        <f>IFERROR(__xludf.DUMMYFUNCTION("REGEXREPLACE(E80, ""[^A-Za-z0-9]"", """")"),"SexofWorkersbyTravelTimetoWork")</f>
        <v>SexofWorkersbyTravelTimetoWork</v>
      </c>
      <c r="G80" s="5" t="s">
        <v>324</v>
      </c>
      <c r="H80" s="8" t="s">
        <v>397</v>
      </c>
      <c r="I80" s="1" t="s">
        <v>398</v>
      </c>
      <c r="J80" s="1" t="s">
        <v>399</v>
      </c>
      <c r="K80" s="1"/>
      <c r="L80" s="1" t="s">
        <v>400</v>
      </c>
      <c r="M80" s="3" t="str">
        <f>IFERROR(__xludf.DUMMYFUNCTION("REGEXREPLACE(L80, ""[^A-Za-z0-9]"", """")"),"Male5to9minutes")</f>
        <v>Male5to9minutes</v>
      </c>
      <c r="N80" s="1" t="s">
        <v>401</v>
      </c>
      <c r="O80" s="1" t="str">
        <f t="shared" si="1"/>
        <v>TravTimeToWorkMale5to9minutes = 'B08012_016',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2" t="s">
        <v>10</v>
      </c>
      <c r="B81" s="6"/>
      <c r="C81" s="1" t="s">
        <v>12</v>
      </c>
      <c r="D81" s="1" t="s">
        <v>13</v>
      </c>
      <c r="E81" s="5" t="s">
        <v>323</v>
      </c>
      <c r="F81" s="3" t="str">
        <f>IFERROR(__xludf.DUMMYFUNCTION("REGEXREPLACE(E81, ""[^A-Za-z0-9]"", """")"),"SexofWorkersbyTravelTimetoWork")</f>
        <v>SexofWorkersbyTravelTimetoWork</v>
      </c>
      <c r="G81" s="5" t="s">
        <v>324</v>
      </c>
      <c r="H81" s="8" t="s">
        <v>402</v>
      </c>
      <c r="I81" s="1" t="s">
        <v>403</v>
      </c>
      <c r="J81" s="1" t="s">
        <v>404</v>
      </c>
      <c r="K81" s="1"/>
      <c r="L81" s="1" t="s">
        <v>405</v>
      </c>
      <c r="M81" s="3" t="str">
        <f>IFERROR(__xludf.DUMMYFUNCTION("REGEXREPLACE(L81, ""[^A-Za-z0-9]"", """")"),"Male10to14minutes")</f>
        <v>Male10to14minutes</v>
      </c>
      <c r="N81" s="1" t="s">
        <v>406</v>
      </c>
      <c r="O81" s="1" t="str">
        <f t="shared" si="1"/>
        <v>TravTimeToWorkMale10to14minutes = 'B08012_017',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2" t="s">
        <v>10</v>
      </c>
      <c r="B82" s="6"/>
      <c r="C82" s="1" t="s">
        <v>12</v>
      </c>
      <c r="D82" s="1" t="s">
        <v>13</v>
      </c>
      <c r="E82" s="5" t="s">
        <v>323</v>
      </c>
      <c r="F82" s="3" t="str">
        <f>IFERROR(__xludf.DUMMYFUNCTION("REGEXREPLACE(E82, ""[^A-Za-z0-9]"", """")"),"SexofWorkersbyTravelTimetoWork")</f>
        <v>SexofWorkersbyTravelTimetoWork</v>
      </c>
      <c r="G82" s="5" t="s">
        <v>324</v>
      </c>
      <c r="H82" s="8" t="s">
        <v>407</v>
      </c>
      <c r="I82" s="1" t="s">
        <v>408</v>
      </c>
      <c r="J82" s="1" t="s">
        <v>409</v>
      </c>
      <c r="K82" s="1"/>
      <c r="L82" s="1" t="s">
        <v>410</v>
      </c>
      <c r="M82" s="3" t="str">
        <f>IFERROR(__xludf.DUMMYFUNCTION("REGEXREPLACE(L82, ""[^A-Za-z0-9]"", """")"),"Male15to19minutes")</f>
        <v>Male15to19minutes</v>
      </c>
      <c r="N82" s="1" t="s">
        <v>411</v>
      </c>
      <c r="O82" s="1" t="str">
        <f t="shared" si="1"/>
        <v>TravTimeToWorkMale15to19minutes = 'B08012_018',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2" t="s">
        <v>10</v>
      </c>
      <c r="B83" s="6"/>
      <c r="C83" s="1" t="s">
        <v>12</v>
      </c>
      <c r="D83" s="1" t="s">
        <v>13</v>
      </c>
      <c r="E83" s="5" t="s">
        <v>323</v>
      </c>
      <c r="F83" s="3" t="str">
        <f>IFERROR(__xludf.DUMMYFUNCTION("REGEXREPLACE(E83, ""[^A-Za-z0-9]"", """")"),"SexofWorkersbyTravelTimetoWork")</f>
        <v>SexofWorkersbyTravelTimetoWork</v>
      </c>
      <c r="G83" s="5" t="s">
        <v>324</v>
      </c>
      <c r="H83" s="8" t="s">
        <v>412</v>
      </c>
      <c r="I83" s="1" t="s">
        <v>413</v>
      </c>
      <c r="J83" s="1" t="s">
        <v>414</v>
      </c>
      <c r="K83" s="1"/>
      <c r="L83" s="1" t="s">
        <v>415</v>
      </c>
      <c r="M83" s="3" t="str">
        <f>IFERROR(__xludf.DUMMYFUNCTION("REGEXREPLACE(L83, ""[^A-Za-z0-9]"", """")"),"Male20to24minutes")</f>
        <v>Male20to24minutes</v>
      </c>
      <c r="N83" s="1" t="s">
        <v>416</v>
      </c>
      <c r="O83" s="1" t="str">
        <f t="shared" si="1"/>
        <v>TravTimeToWorkMale20to24minutes = 'B08012_019',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2" t="s">
        <v>10</v>
      </c>
      <c r="B84" s="6"/>
      <c r="C84" s="1" t="s">
        <v>12</v>
      </c>
      <c r="D84" s="1" t="s">
        <v>13</v>
      </c>
      <c r="E84" s="5" t="s">
        <v>323</v>
      </c>
      <c r="F84" s="3" t="str">
        <f>IFERROR(__xludf.DUMMYFUNCTION("REGEXREPLACE(E84, ""[^A-Za-z0-9]"", """")"),"SexofWorkersbyTravelTimetoWork")</f>
        <v>SexofWorkersbyTravelTimetoWork</v>
      </c>
      <c r="G84" s="5" t="s">
        <v>324</v>
      </c>
      <c r="H84" s="8" t="s">
        <v>417</v>
      </c>
      <c r="I84" s="1" t="s">
        <v>418</v>
      </c>
      <c r="J84" s="1" t="s">
        <v>419</v>
      </c>
      <c r="K84" s="1"/>
      <c r="L84" s="1" t="s">
        <v>420</v>
      </c>
      <c r="M84" s="3" t="str">
        <f>IFERROR(__xludf.DUMMYFUNCTION("REGEXREPLACE(L84, ""[^A-Za-z0-9]"", """")"),"Male25to29minutes")</f>
        <v>Male25to29minutes</v>
      </c>
      <c r="N84" s="1" t="s">
        <v>421</v>
      </c>
      <c r="O84" s="1" t="str">
        <f t="shared" si="1"/>
        <v>TravTimeToWorkMale25to29minutes = 'B08012_020',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2" t="s">
        <v>10</v>
      </c>
      <c r="B85" s="6"/>
      <c r="C85" s="1" t="s">
        <v>12</v>
      </c>
      <c r="D85" s="1" t="s">
        <v>13</v>
      </c>
      <c r="E85" s="5" t="s">
        <v>323</v>
      </c>
      <c r="F85" s="3" t="str">
        <f>IFERROR(__xludf.DUMMYFUNCTION("REGEXREPLACE(E85, ""[^A-Za-z0-9]"", """")"),"SexofWorkersbyTravelTimetoWork")</f>
        <v>SexofWorkersbyTravelTimetoWork</v>
      </c>
      <c r="G85" s="5" t="s">
        <v>324</v>
      </c>
      <c r="H85" s="8" t="s">
        <v>422</v>
      </c>
      <c r="I85" s="1" t="s">
        <v>423</v>
      </c>
      <c r="J85" s="1" t="s">
        <v>424</v>
      </c>
      <c r="K85" s="1"/>
      <c r="L85" s="1" t="s">
        <v>425</v>
      </c>
      <c r="M85" s="3" t="str">
        <f>IFERROR(__xludf.DUMMYFUNCTION("REGEXREPLACE(L85, ""[^A-Za-z0-9]"", """")"),"Male30to34minutes")</f>
        <v>Male30to34minutes</v>
      </c>
      <c r="N85" s="1" t="s">
        <v>426</v>
      </c>
      <c r="O85" s="1" t="str">
        <f t="shared" si="1"/>
        <v>TravTimeToWorkMale30to34minutes = 'B08012_021',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2" t="s">
        <v>10</v>
      </c>
      <c r="B86" s="6"/>
      <c r="C86" s="1" t="s">
        <v>12</v>
      </c>
      <c r="D86" s="1" t="s">
        <v>13</v>
      </c>
      <c r="E86" s="5" t="s">
        <v>323</v>
      </c>
      <c r="F86" s="3" t="str">
        <f>IFERROR(__xludf.DUMMYFUNCTION("REGEXREPLACE(E86, ""[^A-Za-z0-9]"", """")"),"SexofWorkersbyTravelTimetoWork")</f>
        <v>SexofWorkersbyTravelTimetoWork</v>
      </c>
      <c r="G86" s="5" t="s">
        <v>324</v>
      </c>
      <c r="H86" s="8" t="s">
        <v>427</v>
      </c>
      <c r="I86" s="1" t="s">
        <v>428</v>
      </c>
      <c r="J86" s="1" t="s">
        <v>429</v>
      </c>
      <c r="K86" s="1"/>
      <c r="L86" s="1" t="s">
        <v>430</v>
      </c>
      <c r="M86" s="3" t="str">
        <f>IFERROR(__xludf.DUMMYFUNCTION("REGEXREPLACE(L86, ""[^A-Za-z0-9]"", """")"),"Male35to39minutes")</f>
        <v>Male35to39minutes</v>
      </c>
      <c r="N86" s="1" t="s">
        <v>431</v>
      </c>
      <c r="O86" s="1" t="str">
        <f t="shared" si="1"/>
        <v>TravTimeToWorkMale35to39minutes = 'B08012_022',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2" t="s">
        <v>10</v>
      </c>
      <c r="B87" s="6"/>
      <c r="C87" s="1" t="s">
        <v>12</v>
      </c>
      <c r="D87" s="1" t="s">
        <v>13</v>
      </c>
      <c r="E87" s="5" t="s">
        <v>323</v>
      </c>
      <c r="F87" s="3" t="str">
        <f>IFERROR(__xludf.DUMMYFUNCTION("REGEXREPLACE(E87, ""[^A-Za-z0-9]"", """")"),"SexofWorkersbyTravelTimetoWork")</f>
        <v>SexofWorkersbyTravelTimetoWork</v>
      </c>
      <c r="G87" s="5" t="s">
        <v>324</v>
      </c>
      <c r="H87" s="8" t="s">
        <v>432</v>
      </c>
      <c r="I87" s="1" t="s">
        <v>433</v>
      </c>
      <c r="J87" s="1" t="s">
        <v>434</v>
      </c>
      <c r="K87" s="1"/>
      <c r="L87" s="1" t="s">
        <v>435</v>
      </c>
      <c r="M87" s="3" t="str">
        <f>IFERROR(__xludf.DUMMYFUNCTION("REGEXREPLACE(L87, ""[^A-Za-z0-9]"", """")"),"Male40to44minutes")</f>
        <v>Male40to44minutes</v>
      </c>
      <c r="N87" s="1" t="s">
        <v>436</v>
      </c>
      <c r="O87" s="1" t="str">
        <f t="shared" si="1"/>
        <v>TravTimeToWorkMale40to44minutes = 'B08012_023',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2" t="s">
        <v>10</v>
      </c>
      <c r="B88" s="6"/>
      <c r="C88" s="1" t="s">
        <v>12</v>
      </c>
      <c r="D88" s="1" t="s">
        <v>13</v>
      </c>
      <c r="E88" s="5" t="s">
        <v>323</v>
      </c>
      <c r="F88" s="3" t="str">
        <f>IFERROR(__xludf.DUMMYFUNCTION("REGEXREPLACE(E88, ""[^A-Za-z0-9]"", """")"),"SexofWorkersbyTravelTimetoWork")</f>
        <v>SexofWorkersbyTravelTimetoWork</v>
      </c>
      <c r="G88" s="5" t="s">
        <v>324</v>
      </c>
      <c r="H88" s="8" t="s">
        <v>437</v>
      </c>
      <c r="I88" s="1" t="s">
        <v>438</v>
      </c>
      <c r="J88" s="1" t="s">
        <v>439</v>
      </c>
      <c r="K88" s="1"/>
      <c r="L88" s="1" t="s">
        <v>440</v>
      </c>
      <c r="M88" s="3" t="str">
        <f>IFERROR(__xludf.DUMMYFUNCTION("REGEXREPLACE(L88, ""[^A-Za-z0-9]"", """")"),"Male45to59minutes")</f>
        <v>Male45to59minutes</v>
      </c>
      <c r="N88" s="1" t="s">
        <v>441</v>
      </c>
      <c r="O88" s="1" t="str">
        <f t="shared" si="1"/>
        <v>TravTimeToWorkMale45to59minutes = 'B08012_024',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2" t="s">
        <v>10</v>
      </c>
      <c r="B89" s="6"/>
      <c r="C89" s="1" t="s">
        <v>12</v>
      </c>
      <c r="D89" s="1" t="s">
        <v>13</v>
      </c>
      <c r="E89" s="5" t="s">
        <v>323</v>
      </c>
      <c r="F89" s="3" t="str">
        <f>IFERROR(__xludf.DUMMYFUNCTION("REGEXREPLACE(E89, ""[^A-Za-z0-9]"", """")"),"SexofWorkersbyTravelTimetoWork")</f>
        <v>SexofWorkersbyTravelTimetoWork</v>
      </c>
      <c r="G89" s="5" t="s">
        <v>324</v>
      </c>
      <c r="H89" s="8" t="s">
        <v>442</v>
      </c>
      <c r="I89" s="1" t="s">
        <v>443</v>
      </c>
      <c r="J89" s="1" t="s">
        <v>444</v>
      </c>
      <c r="K89" s="1"/>
      <c r="L89" s="1" t="s">
        <v>445</v>
      </c>
      <c r="M89" s="3" t="str">
        <f>IFERROR(__xludf.DUMMYFUNCTION("REGEXREPLACE(L89, ""[^A-Za-z0-9]"", """")"),"Male60to89minutes")</f>
        <v>Male60to89minutes</v>
      </c>
      <c r="N89" s="1" t="s">
        <v>446</v>
      </c>
      <c r="O89" s="1" t="str">
        <f t="shared" si="1"/>
        <v>TravTimeToWorkMale60to89minutes = 'B08012_025',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2" t="s">
        <v>10</v>
      </c>
      <c r="B90" s="6"/>
      <c r="C90" s="1" t="s">
        <v>12</v>
      </c>
      <c r="D90" s="1" t="s">
        <v>13</v>
      </c>
      <c r="E90" s="5" t="s">
        <v>323</v>
      </c>
      <c r="F90" s="3" t="str">
        <f>IFERROR(__xludf.DUMMYFUNCTION("REGEXREPLACE(E90, ""[^A-Za-z0-9]"", """")"),"SexofWorkersbyTravelTimetoWork")</f>
        <v>SexofWorkersbyTravelTimetoWork</v>
      </c>
      <c r="G90" s="5" t="s">
        <v>324</v>
      </c>
      <c r="H90" s="8" t="s">
        <v>447</v>
      </c>
      <c r="I90" s="1" t="s">
        <v>448</v>
      </c>
      <c r="J90" s="1" t="s">
        <v>449</v>
      </c>
      <c r="K90" s="1"/>
      <c r="L90" s="1" t="s">
        <v>450</v>
      </c>
      <c r="M90" s="3" t="str">
        <f>IFERROR(__xludf.DUMMYFUNCTION("REGEXREPLACE(L90, ""[^A-Za-z0-9]"", """")"),"Male90ormoreminutes")</f>
        <v>Male90ormoreminutes</v>
      </c>
      <c r="N90" s="1" t="s">
        <v>451</v>
      </c>
      <c r="O90" s="1" t="str">
        <f t="shared" si="1"/>
        <v>TravTimeToWorkMale90ormoreminutes = 'B08012_026',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2" t="s">
        <v>10</v>
      </c>
      <c r="B91" s="6"/>
      <c r="C91" s="1" t="s">
        <v>12</v>
      </c>
      <c r="D91" s="1" t="s">
        <v>13</v>
      </c>
      <c r="E91" s="5" t="s">
        <v>323</v>
      </c>
      <c r="F91" s="3" t="str">
        <f>IFERROR(__xludf.DUMMYFUNCTION("REGEXREPLACE(E91, ""[^A-Za-z0-9]"", """")"),"SexofWorkersbyTravelTimetoWork")</f>
        <v>SexofWorkersbyTravelTimetoWork</v>
      </c>
      <c r="G91" s="5" t="s">
        <v>324</v>
      </c>
      <c r="H91" s="8" t="s">
        <v>452</v>
      </c>
      <c r="I91" s="1" t="s">
        <v>453</v>
      </c>
      <c r="J91" s="1" t="s">
        <v>454</v>
      </c>
      <c r="K91" s="1"/>
      <c r="L91" s="1" t="s">
        <v>455</v>
      </c>
      <c r="M91" s="3" t="str">
        <f>IFERROR(__xludf.DUMMYFUNCTION("REGEXREPLACE(L91, ""[^A-Za-z0-9]"", """")"),"Female")</f>
        <v>Female</v>
      </c>
      <c r="N91" s="1" t="s">
        <v>456</v>
      </c>
      <c r="O91" s="1" t="str">
        <f t="shared" si="1"/>
        <v>TravTimeToWorkFemale = 'B08012_027',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2" t="s">
        <v>10</v>
      </c>
      <c r="B92" s="6"/>
      <c r="C92" s="1" t="s">
        <v>12</v>
      </c>
      <c r="D92" s="1" t="s">
        <v>13</v>
      </c>
      <c r="E92" s="5" t="s">
        <v>323</v>
      </c>
      <c r="F92" s="3" t="str">
        <f>IFERROR(__xludf.DUMMYFUNCTION("REGEXREPLACE(E92, ""[^A-Za-z0-9]"", """")"),"SexofWorkersbyTravelTimetoWork")</f>
        <v>SexofWorkersbyTravelTimetoWork</v>
      </c>
      <c r="G92" s="5" t="s">
        <v>324</v>
      </c>
      <c r="H92" s="8" t="s">
        <v>457</v>
      </c>
      <c r="I92" s="1" t="s">
        <v>458</v>
      </c>
      <c r="J92" s="1" t="s">
        <v>459</v>
      </c>
      <c r="K92" s="1"/>
      <c r="L92" s="1" t="s">
        <v>460</v>
      </c>
      <c r="M92" s="3" t="str">
        <f>IFERROR(__xludf.DUMMYFUNCTION("REGEXREPLACE(L92, ""[^A-Za-z0-9]"", """")"),"FemaleLessthan5minutes")</f>
        <v>FemaleLessthan5minutes</v>
      </c>
      <c r="N92" s="1" t="s">
        <v>461</v>
      </c>
      <c r="O92" s="1" t="str">
        <f t="shared" si="1"/>
        <v>TravTimeToWorkFemaleLessthan5minutes = 'B08012_028',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2" t="s">
        <v>10</v>
      </c>
      <c r="B93" s="6"/>
      <c r="C93" s="1" t="s">
        <v>12</v>
      </c>
      <c r="D93" s="1" t="s">
        <v>13</v>
      </c>
      <c r="E93" s="5" t="s">
        <v>323</v>
      </c>
      <c r="F93" s="3" t="str">
        <f>IFERROR(__xludf.DUMMYFUNCTION("REGEXREPLACE(E93, ""[^A-Za-z0-9]"", """")"),"SexofWorkersbyTravelTimetoWork")</f>
        <v>SexofWorkersbyTravelTimetoWork</v>
      </c>
      <c r="G93" s="5" t="s">
        <v>324</v>
      </c>
      <c r="H93" s="8" t="s">
        <v>462</v>
      </c>
      <c r="I93" s="1" t="s">
        <v>463</v>
      </c>
      <c r="J93" s="1" t="s">
        <v>464</v>
      </c>
      <c r="K93" s="1"/>
      <c r="L93" s="1" t="s">
        <v>465</v>
      </c>
      <c r="M93" s="3" t="str">
        <f>IFERROR(__xludf.DUMMYFUNCTION("REGEXREPLACE(L93, ""[^A-Za-z0-9]"", """")"),"Female5to9minutes")</f>
        <v>Female5to9minutes</v>
      </c>
      <c r="N93" s="1" t="s">
        <v>466</v>
      </c>
      <c r="O93" s="1" t="str">
        <f t="shared" si="1"/>
        <v>TravTimeToWorkFemale5to9minutes = 'B08012_029',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2" t="s">
        <v>10</v>
      </c>
      <c r="B94" s="6"/>
      <c r="C94" s="1" t="s">
        <v>12</v>
      </c>
      <c r="D94" s="1" t="s">
        <v>13</v>
      </c>
      <c r="E94" s="5" t="s">
        <v>323</v>
      </c>
      <c r="F94" s="3" t="str">
        <f>IFERROR(__xludf.DUMMYFUNCTION("REGEXREPLACE(E94, ""[^A-Za-z0-9]"", """")"),"SexofWorkersbyTravelTimetoWork")</f>
        <v>SexofWorkersbyTravelTimetoWork</v>
      </c>
      <c r="G94" s="5" t="s">
        <v>324</v>
      </c>
      <c r="H94" s="8" t="s">
        <v>467</v>
      </c>
      <c r="I94" s="1" t="s">
        <v>468</v>
      </c>
      <c r="J94" s="1" t="s">
        <v>469</v>
      </c>
      <c r="K94" s="1"/>
      <c r="L94" s="1" t="s">
        <v>470</v>
      </c>
      <c r="M94" s="3" t="str">
        <f>IFERROR(__xludf.DUMMYFUNCTION("REGEXREPLACE(L94, ""[^A-Za-z0-9]"", """")"),"Female10to14minutes")</f>
        <v>Female10to14minutes</v>
      </c>
      <c r="N94" s="1" t="s">
        <v>471</v>
      </c>
      <c r="O94" s="1" t="str">
        <f t="shared" si="1"/>
        <v>TravTimeToWorkFemale10to14minutes = 'B08012_030',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2" t="s">
        <v>10</v>
      </c>
      <c r="B95" s="6"/>
      <c r="C95" s="1" t="s">
        <v>12</v>
      </c>
      <c r="D95" s="1" t="s">
        <v>13</v>
      </c>
      <c r="E95" s="5" t="s">
        <v>323</v>
      </c>
      <c r="F95" s="3" t="str">
        <f>IFERROR(__xludf.DUMMYFUNCTION("REGEXREPLACE(E95, ""[^A-Za-z0-9]"", """")"),"SexofWorkersbyTravelTimetoWork")</f>
        <v>SexofWorkersbyTravelTimetoWork</v>
      </c>
      <c r="G95" s="5" t="s">
        <v>324</v>
      </c>
      <c r="H95" s="8" t="s">
        <v>472</v>
      </c>
      <c r="I95" s="1" t="s">
        <v>473</v>
      </c>
      <c r="J95" s="1" t="s">
        <v>474</v>
      </c>
      <c r="K95" s="1"/>
      <c r="L95" s="1" t="s">
        <v>475</v>
      </c>
      <c r="M95" s="3" t="str">
        <f>IFERROR(__xludf.DUMMYFUNCTION("REGEXREPLACE(L95, ""[^A-Za-z0-9]"", """")"),"Female15to19minutes")</f>
        <v>Female15to19minutes</v>
      </c>
      <c r="N95" s="1" t="s">
        <v>476</v>
      </c>
      <c r="O95" s="1" t="str">
        <f t="shared" si="1"/>
        <v>TravTimeToWorkFemale15to19minutes = 'B08012_031',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2" t="s">
        <v>10</v>
      </c>
      <c r="B96" s="6"/>
      <c r="C96" s="1" t="s">
        <v>12</v>
      </c>
      <c r="D96" s="1" t="s">
        <v>13</v>
      </c>
      <c r="E96" s="5" t="s">
        <v>323</v>
      </c>
      <c r="F96" s="3" t="str">
        <f>IFERROR(__xludf.DUMMYFUNCTION("REGEXREPLACE(E96, ""[^A-Za-z0-9]"", """")"),"SexofWorkersbyTravelTimetoWork")</f>
        <v>SexofWorkersbyTravelTimetoWork</v>
      </c>
      <c r="G96" s="5" t="s">
        <v>324</v>
      </c>
      <c r="H96" s="8" t="s">
        <v>477</v>
      </c>
      <c r="I96" s="1" t="s">
        <v>478</v>
      </c>
      <c r="J96" s="1" t="s">
        <v>479</v>
      </c>
      <c r="K96" s="1"/>
      <c r="L96" s="1" t="s">
        <v>480</v>
      </c>
      <c r="M96" s="3" t="str">
        <f>IFERROR(__xludf.DUMMYFUNCTION("REGEXREPLACE(L96, ""[^A-Za-z0-9]"", """")"),"Female20to24minutes")</f>
        <v>Female20to24minutes</v>
      </c>
      <c r="N96" s="1" t="s">
        <v>481</v>
      </c>
      <c r="O96" s="1" t="str">
        <f t="shared" si="1"/>
        <v>TravTimeToWorkFemale20to24minutes = 'B08012_032',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2" t="s">
        <v>10</v>
      </c>
      <c r="B97" s="6"/>
      <c r="C97" s="1" t="s">
        <v>12</v>
      </c>
      <c r="D97" s="1" t="s">
        <v>13</v>
      </c>
      <c r="E97" s="5" t="s">
        <v>323</v>
      </c>
      <c r="F97" s="3" t="str">
        <f>IFERROR(__xludf.DUMMYFUNCTION("REGEXREPLACE(E97, ""[^A-Za-z0-9]"", """")"),"SexofWorkersbyTravelTimetoWork")</f>
        <v>SexofWorkersbyTravelTimetoWork</v>
      </c>
      <c r="G97" s="5" t="s">
        <v>324</v>
      </c>
      <c r="H97" s="8" t="s">
        <v>482</v>
      </c>
      <c r="I97" s="1" t="s">
        <v>483</v>
      </c>
      <c r="J97" s="1" t="s">
        <v>484</v>
      </c>
      <c r="K97" s="1"/>
      <c r="L97" s="1" t="s">
        <v>485</v>
      </c>
      <c r="M97" s="3" t="str">
        <f>IFERROR(__xludf.DUMMYFUNCTION("REGEXREPLACE(L97, ""[^A-Za-z0-9]"", """")"),"Female25to29minutes")</f>
        <v>Female25to29minutes</v>
      </c>
      <c r="N97" s="1" t="s">
        <v>486</v>
      </c>
      <c r="O97" s="1" t="str">
        <f t="shared" si="1"/>
        <v>TravTimeToWorkFemale25to29minutes = 'B08012_033',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2" t="s">
        <v>10</v>
      </c>
      <c r="B98" s="6"/>
      <c r="C98" s="1" t="s">
        <v>12</v>
      </c>
      <c r="D98" s="1" t="s">
        <v>13</v>
      </c>
      <c r="E98" s="5" t="s">
        <v>323</v>
      </c>
      <c r="F98" s="3" t="str">
        <f>IFERROR(__xludf.DUMMYFUNCTION("REGEXREPLACE(E98, ""[^A-Za-z0-9]"", """")"),"SexofWorkersbyTravelTimetoWork")</f>
        <v>SexofWorkersbyTravelTimetoWork</v>
      </c>
      <c r="G98" s="5" t="s">
        <v>324</v>
      </c>
      <c r="H98" s="8" t="s">
        <v>487</v>
      </c>
      <c r="I98" s="1" t="s">
        <v>488</v>
      </c>
      <c r="J98" s="1" t="s">
        <v>489</v>
      </c>
      <c r="K98" s="1"/>
      <c r="L98" s="1" t="s">
        <v>490</v>
      </c>
      <c r="M98" s="3" t="str">
        <f>IFERROR(__xludf.DUMMYFUNCTION("REGEXREPLACE(L98, ""[^A-Za-z0-9]"", """")"),"Female30to34minutes")</f>
        <v>Female30to34minutes</v>
      </c>
      <c r="N98" s="1" t="s">
        <v>491</v>
      </c>
      <c r="O98" s="1" t="str">
        <f t="shared" si="1"/>
        <v>TravTimeToWorkFemale30to34minutes = 'B08012_034',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2" t="s">
        <v>10</v>
      </c>
      <c r="B99" s="6"/>
      <c r="C99" s="1" t="s">
        <v>12</v>
      </c>
      <c r="D99" s="1" t="s">
        <v>13</v>
      </c>
      <c r="E99" s="5" t="s">
        <v>323</v>
      </c>
      <c r="F99" s="3" t="str">
        <f>IFERROR(__xludf.DUMMYFUNCTION("REGEXREPLACE(E99, ""[^A-Za-z0-9]"", """")"),"SexofWorkersbyTravelTimetoWork")</f>
        <v>SexofWorkersbyTravelTimetoWork</v>
      </c>
      <c r="G99" s="5" t="s">
        <v>324</v>
      </c>
      <c r="H99" s="8" t="s">
        <v>492</v>
      </c>
      <c r="I99" s="1" t="s">
        <v>493</v>
      </c>
      <c r="J99" s="1" t="s">
        <v>494</v>
      </c>
      <c r="K99" s="1"/>
      <c r="L99" s="1" t="s">
        <v>495</v>
      </c>
      <c r="M99" s="3" t="str">
        <f>IFERROR(__xludf.DUMMYFUNCTION("REGEXREPLACE(L99, ""[^A-Za-z0-9]"", """")"),"Female35to39minutes")</f>
        <v>Female35to39minutes</v>
      </c>
      <c r="N99" s="1" t="s">
        <v>496</v>
      </c>
      <c r="O99" s="1" t="str">
        <f t="shared" si="1"/>
        <v>TravTimeToWorkFemale35to39minutes = 'B08012_035',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2" t="s">
        <v>10</v>
      </c>
      <c r="B100" s="6"/>
      <c r="C100" s="1" t="s">
        <v>12</v>
      </c>
      <c r="D100" s="1" t="s">
        <v>13</v>
      </c>
      <c r="E100" s="5" t="s">
        <v>323</v>
      </c>
      <c r="F100" s="3" t="str">
        <f>IFERROR(__xludf.DUMMYFUNCTION("REGEXREPLACE(E100, ""[^A-Za-z0-9]"", """")"),"SexofWorkersbyTravelTimetoWork")</f>
        <v>SexofWorkersbyTravelTimetoWork</v>
      </c>
      <c r="G100" s="5" t="s">
        <v>324</v>
      </c>
      <c r="H100" s="8" t="s">
        <v>497</v>
      </c>
      <c r="I100" s="1" t="s">
        <v>498</v>
      </c>
      <c r="J100" s="1" t="s">
        <v>499</v>
      </c>
      <c r="K100" s="1"/>
      <c r="L100" s="1" t="s">
        <v>500</v>
      </c>
      <c r="M100" s="3" t="str">
        <f>IFERROR(__xludf.DUMMYFUNCTION("REGEXREPLACE(L100, ""[^A-Za-z0-9]"", """")"),"Female40to44minutes")</f>
        <v>Female40to44minutes</v>
      </c>
      <c r="N100" s="1" t="s">
        <v>501</v>
      </c>
      <c r="O100" s="1" t="str">
        <f t="shared" si="1"/>
        <v>TravTimeToWorkFemale40to44minutes = 'B08012_036',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2" t="s">
        <v>10</v>
      </c>
      <c r="B101" s="6"/>
      <c r="C101" s="1" t="s">
        <v>12</v>
      </c>
      <c r="D101" s="1" t="s">
        <v>13</v>
      </c>
      <c r="E101" s="5" t="s">
        <v>323</v>
      </c>
      <c r="F101" s="3" t="str">
        <f>IFERROR(__xludf.DUMMYFUNCTION("REGEXREPLACE(E101, ""[^A-Za-z0-9]"", """")"),"SexofWorkersbyTravelTimetoWork")</f>
        <v>SexofWorkersbyTravelTimetoWork</v>
      </c>
      <c r="G101" s="5" t="s">
        <v>324</v>
      </c>
      <c r="H101" s="8" t="s">
        <v>502</v>
      </c>
      <c r="I101" s="1" t="s">
        <v>503</v>
      </c>
      <c r="J101" s="1" t="s">
        <v>504</v>
      </c>
      <c r="K101" s="1"/>
      <c r="L101" s="1" t="s">
        <v>505</v>
      </c>
      <c r="M101" s="3" t="str">
        <f>IFERROR(__xludf.DUMMYFUNCTION("REGEXREPLACE(L101, ""[^A-Za-z0-9]"", """")"),"Female45to59minutes")</f>
        <v>Female45to59minutes</v>
      </c>
      <c r="N101" s="1" t="s">
        <v>506</v>
      </c>
      <c r="O101" s="1" t="str">
        <f t="shared" si="1"/>
        <v>TravTimeToWorkFemale45to59minutes = 'B08012_037',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2" t="s">
        <v>10</v>
      </c>
      <c r="B102" s="6"/>
      <c r="C102" s="1" t="s">
        <v>12</v>
      </c>
      <c r="D102" s="1" t="s">
        <v>13</v>
      </c>
      <c r="E102" s="5" t="s">
        <v>323</v>
      </c>
      <c r="F102" s="3" t="str">
        <f>IFERROR(__xludf.DUMMYFUNCTION("REGEXREPLACE(E102, ""[^A-Za-z0-9]"", """")"),"SexofWorkersbyTravelTimetoWork")</f>
        <v>SexofWorkersbyTravelTimetoWork</v>
      </c>
      <c r="G102" s="5" t="s">
        <v>324</v>
      </c>
      <c r="H102" s="8" t="s">
        <v>507</v>
      </c>
      <c r="I102" s="1" t="s">
        <v>508</v>
      </c>
      <c r="J102" s="1" t="s">
        <v>509</v>
      </c>
      <c r="K102" s="1"/>
      <c r="L102" s="1" t="s">
        <v>510</v>
      </c>
      <c r="M102" s="3" t="str">
        <f>IFERROR(__xludf.DUMMYFUNCTION("REGEXREPLACE(L102, ""[^A-Za-z0-9]"", """")"),"Female60to89minutes")</f>
        <v>Female60to89minutes</v>
      </c>
      <c r="N102" s="1" t="s">
        <v>511</v>
      </c>
      <c r="O102" s="1" t="str">
        <f t="shared" si="1"/>
        <v>TravTimeToWorkFemale60to89minutes = 'B08012_038',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2" t="s">
        <v>10</v>
      </c>
      <c r="B103" s="6"/>
      <c r="C103" s="1" t="s">
        <v>12</v>
      </c>
      <c r="D103" s="1" t="s">
        <v>13</v>
      </c>
      <c r="E103" s="5" t="s">
        <v>323</v>
      </c>
      <c r="F103" s="3" t="str">
        <f>IFERROR(__xludf.DUMMYFUNCTION("REGEXREPLACE(E103, ""[^A-Za-z0-9]"", """")"),"SexofWorkersbyTravelTimetoWork")</f>
        <v>SexofWorkersbyTravelTimetoWork</v>
      </c>
      <c r="G103" s="5" t="s">
        <v>324</v>
      </c>
      <c r="H103" s="8" t="s">
        <v>512</v>
      </c>
      <c r="I103" s="1" t="s">
        <v>513</v>
      </c>
      <c r="J103" s="1" t="s">
        <v>514</v>
      </c>
      <c r="K103" s="1"/>
      <c r="L103" s="1" t="s">
        <v>515</v>
      </c>
      <c r="M103" s="3" t="str">
        <f>IFERROR(__xludf.DUMMYFUNCTION("REGEXREPLACE(L103, ""[^A-Za-z0-9]"", """")"),"Female90ormoreminutes")</f>
        <v>Female90ormoreminutes</v>
      </c>
      <c r="N103" s="1" t="s">
        <v>516</v>
      </c>
      <c r="O103" s="1" t="str">
        <f t="shared" si="1"/>
        <v>TravTimeToWorkFemale90ormoreminutes = 'B08012_039',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2" t="s">
        <v>10</v>
      </c>
      <c r="B104" s="6" t="s">
        <v>517</v>
      </c>
      <c r="C104" s="1" t="s">
        <v>518</v>
      </c>
      <c r="D104" s="9" t="s">
        <v>519</v>
      </c>
      <c r="E104" s="5" t="s">
        <v>517</v>
      </c>
      <c r="F104" s="3" t="str">
        <f>IFERROR(__xludf.DUMMYFUNCTION("REGEXREPLACE(E104, ""[^A-Za-z0-9]"", """")"),"TypesofComputersinHousehold")</f>
        <v>TypesofComputersinHousehold</v>
      </c>
      <c r="G104" s="5"/>
      <c r="H104" s="5" t="s">
        <v>16</v>
      </c>
      <c r="I104" s="1" t="s">
        <v>520</v>
      </c>
      <c r="J104" s="1" t="s">
        <v>521</v>
      </c>
      <c r="K104" s="1"/>
      <c r="L104" s="1" t="s">
        <v>20</v>
      </c>
      <c r="M104" s="1"/>
      <c r="N104" s="1"/>
      <c r="O104" s="1" t="str">
        <f t="shared" si="1"/>
        <v> = 'B28001_001',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2" t="s">
        <v>10</v>
      </c>
      <c r="B105" s="6"/>
      <c r="C105" s="1" t="s">
        <v>518</v>
      </c>
      <c r="D105" s="9" t="s">
        <v>519</v>
      </c>
      <c r="E105" s="5" t="s">
        <v>517</v>
      </c>
      <c r="F105" s="3" t="str">
        <f>IFERROR(__xludf.DUMMYFUNCTION("REGEXREPLACE(E105, ""[^A-Za-z0-9]"", """")"),"TypesofComputersinHousehold")</f>
        <v>TypesofComputersinHousehold</v>
      </c>
      <c r="G105" s="4"/>
      <c r="H105" s="4" t="s">
        <v>522</v>
      </c>
      <c r="I105" s="1" t="s">
        <v>523</v>
      </c>
      <c r="J105" s="1" t="s">
        <v>524</v>
      </c>
      <c r="K105" s="1"/>
      <c r="L105" s="1" t="s">
        <v>525</v>
      </c>
      <c r="M105" s="1"/>
      <c r="N105" s="1"/>
      <c r="O105" s="1" t="str">
        <f t="shared" si="1"/>
        <v> = 'B28001_002',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2" t="s">
        <v>10</v>
      </c>
      <c r="B106" s="6"/>
      <c r="C106" s="1" t="s">
        <v>518</v>
      </c>
      <c r="D106" s="9" t="s">
        <v>519</v>
      </c>
      <c r="E106" s="5" t="s">
        <v>517</v>
      </c>
      <c r="F106" s="3" t="str">
        <f>IFERROR(__xludf.DUMMYFUNCTION("REGEXREPLACE(E106, ""[^A-Za-z0-9]"", """")"),"TypesofComputersinHousehold")</f>
        <v>TypesofComputersinHousehold</v>
      </c>
      <c r="G106" s="4"/>
      <c r="H106" s="4" t="s">
        <v>526</v>
      </c>
      <c r="I106" s="1" t="s">
        <v>527</v>
      </c>
      <c r="J106" s="1" t="s">
        <v>528</v>
      </c>
      <c r="K106" s="1"/>
      <c r="L106" s="1" t="s">
        <v>529</v>
      </c>
      <c r="M106" s="1"/>
      <c r="N106" s="1"/>
      <c r="O106" s="1" t="str">
        <f t="shared" si="1"/>
        <v> = 'B28001_003',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2" t="s">
        <v>10</v>
      </c>
      <c r="B107" s="6"/>
      <c r="C107" s="1" t="s">
        <v>518</v>
      </c>
      <c r="D107" s="9" t="s">
        <v>519</v>
      </c>
      <c r="E107" s="5" t="s">
        <v>517</v>
      </c>
      <c r="F107" s="3" t="str">
        <f>IFERROR(__xludf.DUMMYFUNCTION("REGEXREPLACE(E107, ""[^A-Za-z0-9]"", """")"),"TypesofComputersinHousehold")</f>
        <v>TypesofComputersinHousehold</v>
      </c>
      <c r="G107" s="4"/>
      <c r="H107" s="4" t="s">
        <v>530</v>
      </c>
      <c r="I107" s="1" t="s">
        <v>531</v>
      </c>
      <c r="J107" s="1" t="s">
        <v>532</v>
      </c>
      <c r="K107" s="1"/>
      <c r="L107" s="1" t="s">
        <v>533</v>
      </c>
      <c r="M107" s="1"/>
      <c r="N107" s="1"/>
      <c r="O107" s="1" t="str">
        <f t="shared" si="1"/>
        <v> = 'B28001_004',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2" t="s">
        <v>10</v>
      </c>
      <c r="B108" s="6"/>
      <c r="C108" s="1" t="s">
        <v>518</v>
      </c>
      <c r="D108" s="9" t="s">
        <v>519</v>
      </c>
      <c r="E108" s="5" t="s">
        <v>517</v>
      </c>
      <c r="F108" s="3" t="str">
        <f>IFERROR(__xludf.DUMMYFUNCTION("REGEXREPLACE(E108, ""[^A-Za-z0-9]"", """")"),"TypesofComputersinHousehold")</f>
        <v>TypesofComputersinHousehold</v>
      </c>
      <c r="G108" s="4"/>
      <c r="H108" s="4" t="s">
        <v>534</v>
      </c>
      <c r="I108" s="1" t="s">
        <v>535</v>
      </c>
      <c r="J108" s="1" t="s">
        <v>536</v>
      </c>
      <c r="K108" s="1"/>
      <c r="L108" s="1" t="s">
        <v>537</v>
      </c>
      <c r="M108" s="1"/>
      <c r="N108" s="1"/>
      <c r="O108" s="1" t="str">
        <f t="shared" si="1"/>
        <v> = 'B28001_005',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2" t="s">
        <v>10</v>
      </c>
      <c r="B109" s="6"/>
      <c r="C109" s="1" t="s">
        <v>518</v>
      </c>
      <c r="D109" s="9" t="s">
        <v>519</v>
      </c>
      <c r="E109" s="5" t="s">
        <v>517</v>
      </c>
      <c r="F109" s="3" t="str">
        <f>IFERROR(__xludf.DUMMYFUNCTION("REGEXREPLACE(E109, ""[^A-Za-z0-9]"", """")"),"TypesofComputersinHousehold")</f>
        <v>TypesofComputersinHousehold</v>
      </c>
      <c r="G109" s="4"/>
      <c r="H109" s="4" t="s">
        <v>538</v>
      </c>
      <c r="I109" s="1" t="s">
        <v>539</v>
      </c>
      <c r="J109" s="1" t="s">
        <v>540</v>
      </c>
      <c r="K109" s="1"/>
      <c r="L109" s="1" t="s">
        <v>541</v>
      </c>
      <c r="M109" s="1"/>
      <c r="N109" s="1"/>
      <c r="O109" s="1" t="str">
        <f t="shared" si="1"/>
        <v> = 'B28001_006',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2" t="s">
        <v>10</v>
      </c>
      <c r="B110" s="6"/>
      <c r="C110" s="1" t="s">
        <v>518</v>
      </c>
      <c r="D110" s="9" t="s">
        <v>519</v>
      </c>
      <c r="E110" s="5" t="s">
        <v>517</v>
      </c>
      <c r="F110" s="3" t="str">
        <f>IFERROR(__xludf.DUMMYFUNCTION("REGEXREPLACE(E110, ""[^A-Za-z0-9]"", """")"),"TypesofComputersinHousehold")</f>
        <v>TypesofComputersinHousehold</v>
      </c>
      <c r="G110" s="4"/>
      <c r="H110" s="4" t="s">
        <v>542</v>
      </c>
      <c r="I110" s="1" t="s">
        <v>543</v>
      </c>
      <c r="J110" s="1" t="s">
        <v>544</v>
      </c>
      <c r="K110" s="1"/>
      <c r="L110" s="1" t="s">
        <v>545</v>
      </c>
      <c r="M110" s="1"/>
      <c r="N110" s="1"/>
      <c r="O110" s="1" t="str">
        <f t="shared" si="1"/>
        <v> = 'B28001_007',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2" t="s">
        <v>10</v>
      </c>
      <c r="B111" s="6"/>
      <c r="C111" s="1" t="s">
        <v>518</v>
      </c>
      <c r="D111" s="9" t="s">
        <v>519</v>
      </c>
      <c r="E111" s="5" t="s">
        <v>517</v>
      </c>
      <c r="F111" s="3" t="str">
        <f>IFERROR(__xludf.DUMMYFUNCTION("REGEXREPLACE(E111, ""[^A-Za-z0-9]"", """")"),"TypesofComputersinHousehold")</f>
        <v>TypesofComputersinHousehold</v>
      </c>
      <c r="G111" s="4"/>
      <c r="H111" s="4" t="s">
        <v>546</v>
      </c>
      <c r="I111" s="1" t="s">
        <v>547</v>
      </c>
      <c r="J111" s="1" t="s">
        <v>548</v>
      </c>
      <c r="K111" s="1"/>
      <c r="L111" s="1" t="s">
        <v>549</v>
      </c>
      <c r="M111" s="1"/>
      <c r="N111" s="1"/>
      <c r="O111" s="1" t="str">
        <f t="shared" si="1"/>
        <v> = 'B28001_008',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2" t="s">
        <v>10</v>
      </c>
      <c r="B112" s="6"/>
      <c r="C112" s="1" t="s">
        <v>518</v>
      </c>
      <c r="D112" s="9" t="s">
        <v>519</v>
      </c>
      <c r="E112" s="5" t="s">
        <v>517</v>
      </c>
      <c r="F112" s="3" t="str">
        <f>IFERROR(__xludf.DUMMYFUNCTION("REGEXREPLACE(E112, ""[^A-Za-z0-9]"", """")"),"TypesofComputersinHousehold")</f>
        <v>TypesofComputersinHousehold</v>
      </c>
      <c r="G112" s="4"/>
      <c r="H112" s="4" t="s">
        <v>550</v>
      </c>
      <c r="I112" s="1" t="s">
        <v>551</v>
      </c>
      <c r="J112" s="1" t="s">
        <v>552</v>
      </c>
      <c r="K112" s="1"/>
      <c r="L112" s="1" t="s">
        <v>553</v>
      </c>
      <c r="M112" s="1"/>
      <c r="N112" s="1"/>
      <c r="O112" s="1" t="str">
        <f t="shared" si="1"/>
        <v> = 'B28001_009',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2" t="s">
        <v>10</v>
      </c>
      <c r="B113" s="6"/>
      <c r="C113" s="1" t="s">
        <v>518</v>
      </c>
      <c r="D113" s="9" t="s">
        <v>519</v>
      </c>
      <c r="E113" s="5" t="s">
        <v>517</v>
      </c>
      <c r="F113" s="3" t="str">
        <f>IFERROR(__xludf.DUMMYFUNCTION("REGEXREPLACE(E113, ""[^A-Za-z0-9]"", """")"),"TypesofComputersinHousehold")</f>
        <v>TypesofComputersinHousehold</v>
      </c>
      <c r="G113" s="4"/>
      <c r="H113" s="4" t="s">
        <v>554</v>
      </c>
      <c r="I113" s="1" t="s">
        <v>555</v>
      </c>
      <c r="J113" s="1" t="s">
        <v>556</v>
      </c>
      <c r="K113" s="1"/>
      <c r="L113" s="1" t="s">
        <v>557</v>
      </c>
      <c r="M113" s="1"/>
      <c r="N113" s="1"/>
      <c r="O113" s="1" t="str">
        <f t="shared" si="1"/>
        <v> = 'B28001_010',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2" t="s">
        <v>10</v>
      </c>
      <c r="B114" s="6"/>
      <c r="C114" s="1" t="s">
        <v>518</v>
      </c>
      <c r="D114" s="9" t="s">
        <v>519</v>
      </c>
      <c r="E114" s="5" t="s">
        <v>517</v>
      </c>
      <c r="F114" s="3" t="str">
        <f>IFERROR(__xludf.DUMMYFUNCTION("REGEXREPLACE(E114, ""[^A-Za-z0-9]"", """")"),"TypesofComputersinHousehold")</f>
        <v>TypesofComputersinHousehold</v>
      </c>
      <c r="G114" s="4"/>
      <c r="H114" s="4" t="s">
        <v>558</v>
      </c>
      <c r="I114" s="1" t="s">
        <v>559</v>
      </c>
      <c r="J114" s="1" t="s">
        <v>560</v>
      </c>
      <c r="K114" s="1"/>
      <c r="L114" s="1" t="s">
        <v>561</v>
      </c>
      <c r="M114" s="1"/>
      <c r="N114" s="1"/>
      <c r="O114" s="1" t="str">
        <f t="shared" si="1"/>
        <v> = 'B28001_011',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2" t="s">
        <v>10</v>
      </c>
      <c r="B115" s="6" t="s">
        <v>562</v>
      </c>
      <c r="C115" s="1" t="s">
        <v>518</v>
      </c>
      <c r="D115" s="9" t="s">
        <v>519</v>
      </c>
      <c r="E115" s="5" t="s">
        <v>562</v>
      </c>
      <c r="F115" s="3" t="str">
        <f>IFERROR(__xludf.DUMMYFUNCTION("REGEXREPLACE(E115, ""[^A-Za-z0-9]"", """")"),"PresenceandTypesofInternetSubscriptionsinHousehold")</f>
        <v>PresenceandTypesofInternetSubscriptionsinHousehold</v>
      </c>
      <c r="G115" s="5"/>
      <c r="H115" s="5" t="s">
        <v>16</v>
      </c>
      <c r="I115" s="1" t="s">
        <v>563</v>
      </c>
      <c r="J115" s="1" t="s">
        <v>564</v>
      </c>
      <c r="K115" s="1"/>
      <c r="L115" s="1" t="s">
        <v>20</v>
      </c>
      <c r="M115" s="1"/>
      <c r="N115" s="1"/>
      <c r="O115" s="1" t="str">
        <f t="shared" si="1"/>
        <v> = 'B28002_001',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2" t="s">
        <v>10</v>
      </c>
      <c r="B116" s="6"/>
      <c r="C116" s="1" t="s">
        <v>518</v>
      </c>
      <c r="D116" s="9" t="s">
        <v>519</v>
      </c>
      <c r="E116" s="5" t="s">
        <v>562</v>
      </c>
      <c r="F116" s="3" t="str">
        <f>IFERROR(__xludf.DUMMYFUNCTION("REGEXREPLACE(E116, ""[^A-Za-z0-9]"", """")"),"PresenceandTypesofInternetSubscriptionsinHousehold")</f>
        <v>PresenceandTypesofInternetSubscriptionsinHousehold</v>
      </c>
      <c r="G116" s="4"/>
      <c r="H116" s="4" t="s">
        <v>565</v>
      </c>
      <c r="I116" s="1" t="s">
        <v>566</v>
      </c>
      <c r="J116" s="1" t="s">
        <v>567</v>
      </c>
      <c r="K116" s="1"/>
      <c r="L116" s="1" t="s">
        <v>568</v>
      </c>
      <c r="M116" s="1"/>
      <c r="N116" s="1"/>
      <c r="O116" s="1" t="str">
        <f t="shared" si="1"/>
        <v> = 'B28002_002',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2" t="s">
        <v>10</v>
      </c>
      <c r="B117" s="6"/>
      <c r="C117" s="1" t="s">
        <v>518</v>
      </c>
      <c r="D117" s="9" t="s">
        <v>519</v>
      </c>
      <c r="E117" s="5" t="s">
        <v>562</v>
      </c>
      <c r="F117" s="3" t="str">
        <f>IFERROR(__xludf.DUMMYFUNCTION("REGEXREPLACE(E117, ""[^A-Za-z0-9]"", """")"),"PresenceandTypesofInternetSubscriptionsinHousehold")</f>
        <v>PresenceandTypesofInternetSubscriptionsinHousehold</v>
      </c>
      <c r="G117" s="4"/>
      <c r="H117" s="4" t="s">
        <v>569</v>
      </c>
      <c r="I117" s="1" t="s">
        <v>570</v>
      </c>
      <c r="J117" s="1" t="s">
        <v>571</v>
      </c>
      <c r="K117" s="1"/>
      <c r="L117" s="1" t="s">
        <v>572</v>
      </c>
      <c r="M117" s="1"/>
      <c r="N117" s="1"/>
      <c r="O117" s="1" t="str">
        <f t="shared" si="1"/>
        <v> = 'B28002_003',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2" t="s">
        <v>10</v>
      </c>
      <c r="B118" s="6"/>
      <c r="C118" s="1" t="s">
        <v>518</v>
      </c>
      <c r="D118" s="9" t="s">
        <v>519</v>
      </c>
      <c r="E118" s="5" t="s">
        <v>562</v>
      </c>
      <c r="F118" s="3" t="str">
        <f>IFERROR(__xludf.DUMMYFUNCTION("REGEXREPLACE(E118, ""[^A-Za-z0-9]"", """")"),"PresenceandTypesofInternetSubscriptionsinHousehold")</f>
        <v>PresenceandTypesofInternetSubscriptionsinHousehold</v>
      </c>
      <c r="G118" s="4"/>
      <c r="H118" s="4" t="s">
        <v>573</v>
      </c>
      <c r="I118" s="1" t="s">
        <v>574</v>
      </c>
      <c r="J118" s="1" t="s">
        <v>575</v>
      </c>
      <c r="K118" s="1"/>
      <c r="L118" s="1" t="s">
        <v>576</v>
      </c>
      <c r="M118" s="1"/>
      <c r="N118" s="1"/>
      <c r="O118" s="1" t="str">
        <f t="shared" si="1"/>
        <v> = 'B28002_004',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2" t="s">
        <v>10</v>
      </c>
      <c r="B119" s="6"/>
      <c r="C119" s="1" t="s">
        <v>518</v>
      </c>
      <c r="D119" s="9" t="s">
        <v>519</v>
      </c>
      <c r="E119" s="5" t="s">
        <v>562</v>
      </c>
      <c r="F119" s="3" t="str">
        <f>IFERROR(__xludf.DUMMYFUNCTION("REGEXREPLACE(E119, ""[^A-Za-z0-9]"", """")"),"PresenceandTypesofInternetSubscriptionsinHousehold")</f>
        <v>PresenceandTypesofInternetSubscriptionsinHousehold</v>
      </c>
      <c r="G119" s="4"/>
      <c r="H119" s="4" t="s">
        <v>577</v>
      </c>
      <c r="I119" s="1" t="s">
        <v>578</v>
      </c>
      <c r="J119" s="1" t="s">
        <v>579</v>
      </c>
      <c r="K119" s="1"/>
      <c r="L119" s="1" t="s">
        <v>580</v>
      </c>
      <c r="M119" s="1"/>
      <c r="N119" s="1"/>
      <c r="O119" s="1" t="str">
        <f t="shared" si="1"/>
        <v> = 'B28002_005',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2" t="s">
        <v>10</v>
      </c>
      <c r="B120" s="6"/>
      <c r="C120" s="1" t="s">
        <v>518</v>
      </c>
      <c r="D120" s="9" t="s">
        <v>519</v>
      </c>
      <c r="E120" s="5" t="s">
        <v>562</v>
      </c>
      <c r="F120" s="3" t="str">
        <f>IFERROR(__xludf.DUMMYFUNCTION("REGEXREPLACE(E120, ""[^A-Za-z0-9]"", """")"),"PresenceandTypesofInternetSubscriptionsinHousehold")</f>
        <v>PresenceandTypesofInternetSubscriptionsinHousehold</v>
      </c>
      <c r="G120" s="4"/>
      <c r="H120" s="4" t="s">
        <v>581</v>
      </c>
      <c r="I120" s="1" t="s">
        <v>582</v>
      </c>
      <c r="J120" s="1" t="s">
        <v>583</v>
      </c>
      <c r="K120" s="1"/>
      <c r="L120" s="1" t="s">
        <v>584</v>
      </c>
      <c r="M120" s="1"/>
      <c r="N120" s="1"/>
      <c r="O120" s="1" t="str">
        <f t="shared" si="1"/>
        <v> = 'B28002_006',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2" t="s">
        <v>10</v>
      </c>
      <c r="B121" s="6"/>
      <c r="C121" s="1" t="s">
        <v>518</v>
      </c>
      <c r="D121" s="9" t="s">
        <v>519</v>
      </c>
      <c r="E121" s="5" t="s">
        <v>562</v>
      </c>
      <c r="F121" s="3" t="str">
        <f>IFERROR(__xludf.DUMMYFUNCTION("REGEXREPLACE(E121, ""[^A-Za-z0-9]"", """")"),"PresenceandTypesofInternetSubscriptionsinHousehold")</f>
        <v>PresenceandTypesofInternetSubscriptionsinHousehold</v>
      </c>
      <c r="G121" s="4"/>
      <c r="H121" s="4" t="s">
        <v>585</v>
      </c>
      <c r="I121" s="1" t="s">
        <v>586</v>
      </c>
      <c r="J121" s="1" t="s">
        <v>587</v>
      </c>
      <c r="K121" s="1"/>
      <c r="L121" s="1" t="s">
        <v>588</v>
      </c>
      <c r="M121" s="1"/>
      <c r="N121" s="1"/>
      <c r="O121" s="1" t="str">
        <f t="shared" si="1"/>
        <v> = 'B28002_007',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2" t="s">
        <v>10</v>
      </c>
      <c r="B122" s="6"/>
      <c r="C122" s="1" t="s">
        <v>518</v>
      </c>
      <c r="D122" s="9" t="s">
        <v>519</v>
      </c>
      <c r="E122" s="5" t="s">
        <v>562</v>
      </c>
      <c r="F122" s="3" t="str">
        <f>IFERROR(__xludf.DUMMYFUNCTION("REGEXREPLACE(E122, ""[^A-Za-z0-9]"", """")"),"PresenceandTypesofInternetSubscriptionsinHousehold")</f>
        <v>PresenceandTypesofInternetSubscriptionsinHousehold</v>
      </c>
      <c r="G122" s="4"/>
      <c r="H122" s="4" t="s">
        <v>589</v>
      </c>
      <c r="I122" s="1" t="s">
        <v>590</v>
      </c>
      <c r="J122" s="1" t="s">
        <v>591</v>
      </c>
      <c r="K122" s="1"/>
      <c r="L122" s="1" t="s">
        <v>592</v>
      </c>
      <c r="M122" s="1"/>
      <c r="N122" s="1"/>
      <c r="O122" s="1" t="str">
        <f t="shared" si="1"/>
        <v> = 'B28002_008',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2" t="s">
        <v>10</v>
      </c>
      <c r="B123" s="6"/>
      <c r="C123" s="1" t="s">
        <v>518</v>
      </c>
      <c r="D123" s="9" t="s">
        <v>519</v>
      </c>
      <c r="E123" s="5" t="s">
        <v>562</v>
      </c>
      <c r="F123" s="3" t="str">
        <f>IFERROR(__xludf.DUMMYFUNCTION("REGEXREPLACE(E123, ""[^A-Za-z0-9]"", """")"),"PresenceandTypesofInternetSubscriptionsinHousehold")</f>
        <v>PresenceandTypesofInternetSubscriptionsinHousehold</v>
      </c>
      <c r="G123" s="4"/>
      <c r="H123" s="4" t="s">
        <v>593</v>
      </c>
      <c r="I123" s="1" t="s">
        <v>594</v>
      </c>
      <c r="J123" s="1" t="s">
        <v>595</v>
      </c>
      <c r="K123" s="1"/>
      <c r="L123" s="1" t="s">
        <v>596</v>
      </c>
      <c r="M123" s="1"/>
      <c r="N123" s="1"/>
      <c r="O123" s="1" t="str">
        <f t="shared" si="1"/>
        <v> = 'B28002_009',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2" t="s">
        <v>10</v>
      </c>
      <c r="B124" s="6"/>
      <c r="C124" s="1" t="s">
        <v>518</v>
      </c>
      <c r="D124" s="9" t="s">
        <v>519</v>
      </c>
      <c r="E124" s="5" t="s">
        <v>562</v>
      </c>
      <c r="F124" s="3" t="str">
        <f>IFERROR(__xludf.DUMMYFUNCTION("REGEXREPLACE(E124, ""[^A-Za-z0-9]"", """")"),"PresenceandTypesofInternetSubscriptionsinHousehold")</f>
        <v>PresenceandTypesofInternetSubscriptionsinHousehold</v>
      </c>
      <c r="G124" s="4"/>
      <c r="H124" s="4" t="s">
        <v>597</v>
      </c>
      <c r="I124" s="1" t="s">
        <v>598</v>
      </c>
      <c r="J124" s="1" t="s">
        <v>599</v>
      </c>
      <c r="K124" s="1"/>
      <c r="L124" s="1" t="s">
        <v>600</v>
      </c>
      <c r="M124" s="1"/>
      <c r="N124" s="1"/>
      <c r="O124" s="1" t="str">
        <f t="shared" si="1"/>
        <v> = 'B28002_010',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2" t="s">
        <v>10</v>
      </c>
      <c r="B125" s="6"/>
      <c r="C125" s="1" t="s">
        <v>518</v>
      </c>
      <c r="D125" s="9" t="s">
        <v>519</v>
      </c>
      <c r="E125" s="5" t="s">
        <v>562</v>
      </c>
      <c r="F125" s="3" t="str">
        <f>IFERROR(__xludf.DUMMYFUNCTION("REGEXREPLACE(E125, ""[^A-Za-z0-9]"", """")"),"PresenceandTypesofInternetSubscriptionsinHousehold")</f>
        <v>PresenceandTypesofInternetSubscriptionsinHousehold</v>
      </c>
      <c r="G125" s="4"/>
      <c r="H125" s="4" t="s">
        <v>601</v>
      </c>
      <c r="I125" s="1" t="s">
        <v>602</v>
      </c>
      <c r="J125" s="1" t="s">
        <v>603</v>
      </c>
      <c r="K125" s="1"/>
      <c r="L125" s="1" t="s">
        <v>604</v>
      </c>
      <c r="M125" s="1"/>
      <c r="N125" s="1"/>
      <c r="O125" s="1" t="str">
        <f t="shared" si="1"/>
        <v> = 'B28002_011',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2" t="s">
        <v>10</v>
      </c>
      <c r="B126" s="6"/>
      <c r="C126" s="1" t="s">
        <v>518</v>
      </c>
      <c r="D126" s="9" t="s">
        <v>519</v>
      </c>
      <c r="E126" s="5" t="s">
        <v>562</v>
      </c>
      <c r="F126" s="3" t="str">
        <f>IFERROR(__xludf.DUMMYFUNCTION("REGEXREPLACE(E126, ""[^A-Za-z0-9]"", """")"),"PresenceandTypesofInternetSubscriptionsinHousehold")</f>
        <v>PresenceandTypesofInternetSubscriptionsinHousehold</v>
      </c>
      <c r="G126" s="10"/>
      <c r="H126" s="10" t="s">
        <v>605</v>
      </c>
      <c r="I126" s="1" t="s">
        <v>606</v>
      </c>
      <c r="J126" s="1" t="s">
        <v>607</v>
      </c>
      <c r="K126" s="1"/>
      <c r="L126" s="1" t="s">
        <v>608</v>
      </c>
      <c r="M126" s="1"/>
      <c r="N126" s="1"/>
      <c r="O126" s="1" t="str">
        <f t="shared" si="1"/>
        <v> = 'B28002_012',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2" t="s">
        <v>10</v>
      </c>
      <c r="B127" s="6"/>
      <c r="C127" s="1" t="s">
        <v>518</v>
      </c>
      <c r="D127" s="9" t="s">
        <v>519</v>
      </c>
      <c r="E127" s="5" t="s">
        <v>562</v>
      </c>
      <c r="F127" s="3" t="str">
        <f>IFERROR(__xludf.DUMMYFUNCTION("REGEXREPLACE(E127, ""[^A-Za-z0-9]"", """")"),"PresenceandTypesofInternetSubscriptionsinHousehold")</f>
        <v>PresenceandTypesofInternetSubscriptionsinHousehold</v>
      </c>
      <c r="G127" s="10"/>
      <c r="H127" s="10" t="s">
        <v>609</v>
      </c>
      <c r="I127" s="1" t="s">
        <v>610</v>
      </c>
      <c r="J127" s="1" t="s">
        <v>611</v>
      </c>
      <c r="K127" s="1"/>
      <c r="L127" s="1" t="s">
        <v>612</v>
      </c>
      <c r="M127" s="1"/>
      <c r="N127" s="1"/>
      <c r="O127" s="1" t="str">
        <f t="shared" si="1"/>
        <v> = 'B28002_013',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2" t="s">
        <v>10</v>
      </c>
      <c r="B128" s="1"/>
      <c r="C128" s="7" t="s">
        <v>613</v>
      </c>
      <c r="D128" s="9" t="s">
        <v>519</v>
      </c>
      <c r="E128" s="7" t="s">
        <v>614</v>
      </c>
      <c r="F128" s="3" t="str">
        <f>IFERROR(__xludf.DUMMYFUNCTION("REGEXREPLACE(E128, ""[^A-Za-z0-9]"", """")"),"PresenceofaComputerandTypeofInternetSubscriptioninHousehold")</f>
        <v>PresenceofaComputerandTypeofInternetSubscriptioninHousehold</v>
      </c>
      <c r="G128" s="7"/>
      <c r="H128" s="7" t="s">
        <v>16</v>
      </c>
      <c r="I128" s="1" t="s">
        <v>615</v>
      </c>
      <c r="J128" s="7" t="s">
        <v>616</v>
      </c>
      <c r="K128" s="1"/>
      <c r="L128" s="1" t="s">
        <v>20</v>
      </c>
      <c r="M128" s="1"/>
      <c r="N128" s="1"/>
      <c r="O128" s="1" t="str">
        <f t="shared" si="1"/>
        <v> = 'B28003_001',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2" t="s">
        <v>10</v>
      </c>
      <c r="B129" s="1"/>
      <c r="C129" s="7" t="s">
        <v>613</v>
      </c>
      <c r="D129" s="9" t="s">
        <v>519</v>
      </c>
      <c r="E129" s="7" t="s">
        <v>614</v>
      </c>
      <c r="F129" s="3" t="str">
        <f>IFERROR(__xludf.DUMMYFUNCTION("REGEXREPLACE(E129, ""[^A-Za-z0-9]"", """")"),"PresenceofaComputerandTypeofInternetSubscriptioninHousehold")</f>
        <v>PresenceofaComputerandTypeofInternetSubscriptioninHousehold</v>
      </c>
      <c r="G129" s="7"/>
      <c r="H129" s="7" t="s">
        <v>617</v>
      </c>
      <c r="I129" s="1" t="s">
        <v>618</v>
      </c>
      <c r="J129" s="7" t="s">
        <v>619</v>
      </c>
      <c r="K129" s="1"/>
      <c r="L129" s="1" t="s">
        <v>620</v>
      </c>
      <c r="M129" s="1"/>
      <c r="N129" s="1"/>
      <c r="O129" s="1" t="str">
        <f t="shared" si="1"/>
        <v> = 'B28003_002',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2" t="s">
        <v>10</v>
      </c>
      <c r="B130" s="1"/>
      <c r="C130" s="7" t="s">
        <v>613</v>
      </c>
      <c r="D130" s="9" t="s">
        <v>519</v>
      </c>
      <c r="E130" s="7" t="s">
        <v>614</v>
      </c>
      <c r="F130" s="3" t="str">
        <f>IFERROR(__xludf.DUMMYFUNCTION("REGEXREPLACE(E130, ""[^A-Za-z0-9]"", """")"),"PresenceofaComputerandTypeofInternetSubscriptioninHousehold")</f>
        <v>PresenceofaComputerandTypeofInternetSubscriptioninHousehold</v>
      </c>
      <c r="G130" s="7"/>
      <c r="H130" s="7" t="s">
        <v>621</v>
      </c>
      <c r="I130" s="1" t="s">
        <v>622</v>
      </c>
      <c r="J130" s="7" t="s">
        <v>623</v>
      </c>
      <c r="K130" s="1"/>
      <c r="L130" s="1" t="s">
        <v>624</v>
      </c>
      <c r="M130" s="1"/>
      <c r="N130" s="1"/>
      <c r="O130" s="1" t="str">
        <f t="shared" si="1"/>
        <v> = 'B28003_003',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2" t="s">
        <v>10</v>
      </c>
      <c r="B131" s="1"/>
      <c r="C131" s="7" t="s">
        <v>613</v>
      </c>
      <c r="D131" s="9" t="s">
        <v>519</v>
      </c>
      <c r="E131" s="7" t="s">
        <v>614</v>
      </c>
      <c r="F131" s="3" t="str">
        <f>IFERROR(__xludf.DUMMYFUNCTION("REGEXREPLACE(E131, ""[^A-Za-z0-9]"", """")"),"PresenceofaComputerandTypeofInternetSubscriptioninHousehold")</f>
        <v>PresenceofaComputerandTypeofInternetSubscriptioninHousehold</v>
      </c>
      <c r="G131" s="7"/>
      <c r="H131" s="7" t="s">
        <v>625</v>
      </c>
      <c r="I131" s="1" t="s">
        <v>626</v>
      </c>
      <c r="J131" s="7" t="s">
        <v>627</v>
      </c>
      <c r="K131" s="1"/>
      <c r="L131" s="1" t="s">
        <v>628</v>
      </c>
      <c r="M131" s="1"/>
      <c r="N131" s="1"/>
      <c r="O131" s="1" t="str">
        <f t="shared" si="1"/>
        <v> = 'B28003_004',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2" t="s">
        <v>10</v>
      </c>
      <c r="B132" s="1"/>
      <c r="C132" s="7" t="s">
        <v>613</v>
      </c>
      <c r="D132" s="9" t="s">
        <v>519</v>
      </c>
      <c r="E132" s="7" t="s">
        <v>614</v>
      </c>
      <c r="F132" s="3" t="str">
        <f>IFERROR(__xludf.DUMMYFUNCTION("REGEXREPLACE(E132, ""[^A-Za-z0-9]"", """")"),"PresenceofaComputerandTypeofInternetSubscriptioninHousehold")</f>
        <v>PresenceofaComputerandTypeofInternetSubscriptioninHousehold</v>
      </c>
      <c r="G132" s="7"/>
      <c r="H132" s="7" t="s">
        <v>629</v>
      </c>
      <c r="I132" s="1" t="s">
        <v>630</v>
      </c>
      <c r="J132" s="7" t="s">
        <v>631</v>
      </c>
      <c r="K132" s="1"/>
      <c r="L132" s="1" t="s">
        <v>632</v>
      </c>
      <c r="M132" s="1"/>
      <c r="N132" s="1"/>
      <c r="O132" s="1" t="str">
        <f t="shared" si="1"/>
        <v> = 'B28003_005',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2" t="s">
        <v>10</v>
      </c>
      <c r="B133" s="1"/>
      <c r="C133" s="7" t="s">
        <v>613</v>
      </c>
      <c r="D133" s="9" t="s">
        <v>519</v>
      </c>
      <c r="E133" s="7" t="s">
        <v>614</v>
      </c>
      <c r="F133" s="3" t="str">
        <f>IFERROR(__xludf.DUMMYFUNCTION("REGEXREPLACE(E133, ""[^A-Za-z0-9]"", """")"),"PresenceofaComputerandTypeofInternetSubscriptioninHousehold")</f>
        <v>PresenceofaComputerandTypeofInternetSubscriptioninHousehold</v>
      </c>
      <c r="G133" s="7"/>
      <c r="H133" s="7" t="s">
        <v>633</v>
      </c>
      <c r="I133" s="1" t="s">
        <v>634</v>
      </c>
      <c r="J133" s="7" t="s">
        <v>635</v>
      </c>
      <c r="K133" s="1"/>
      <c r="L133" s="1" t="s">
        <v>636</v>
      </c>
      <c r="M133" s="1"/>
      <c r="N133" s="1"/>
      <c r="O133" s="1" t="str">
        <f t="shared" si="1"/>
        <v> = 'B28003_006',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2" t="s">
        <v>10</v>
      </c>
      <c r="B134" s="1"/>
      <c r="C134" s="7" t="s">
        <v>613</v>
      </c>
      <c r="D134" s="9" t="s">
        <v>519</v>
      </c>
      <c r="E134" s="7" t="s">
        <v>637</v>
      </c>
      <c r="F134" s="3" t="str">
        <f>IFERROR(__xludf.DUMMYFUNCTION("REGEXREPLACE(E134,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34" s="7"/>
      <c r="H134" s="7" t="s">
        <v>16</v>
      </c>
      <c r="I134" s="1" t="s">
        <v>638</v>
      </c>
      <c r="J134" s="7" t="s">
        <v>639</v>
      </c>
      <c r="K134" s="1"/>
      <c r="L134" s="1" t="s">
        <v>20</v>
      </c>
      <c r="M134" s="1"/>
      <c r="N134" s="1"/>
      <c r="O134" s="1" t="str">
        <f t="shared" si="1"/>
        <v> = 'B28004_001',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2" t="s">
        <v>10</v>
      </c>
      <c r="B135" s="1"/>
      <c r="C135" s="7" t="s">
        <v>613</v>
      </c>
      <c r="D135" s="9" t="s">
        <v>519</v>
      </c>
      <c r="E135" s="7" t="s">
        <v>637</v>
      </c>
      <c r="F135" s="3" t="str">
        <f>IFERROR(__xludf.DUMMYFUNCTION("REGEXREPLACE(E135,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35" s="7"/>
      <c r="H135" s="7" t="s">
        <v>640</v>
      </c>
      <c r="I135" s="1" t="s">
        <v>641</v>
      </c>
      <c r="J135" s="7" t="s">
        <v>642</v>
      </c>
      <c r="K135" s="1"/>
      <c r="L135" s="1" t="s">
        <v>643</v>
      </c>
      <c r="M135" s="1"/>
      <c r="N135" s="1"/>
      <c r="O135" s="1" t="str">
        <f t="shared" si="1"/>
        <v> = 'B28004_002',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2" t="s">
        <v>10</v>
      </c>
      <c r="B136" s="1"/>
      <c r="C136" s="7" t="s">
        <v>613</v>
      </c>
      <c r="D136" s="9" t="s">
        <v>519</v>
      </c>
      <c r="E136" s="7" t="s">
        <v>637</v>
      </c>
      <c r="F136" s="3" t="str">
        <f>IFERROR(__xludf.DUMMYFUNCTION("REGEXREPLACE(E136,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36" s="7"/>
      <c r="H136" s="7" t="s">
        <v>644</v>
      </c>
      <c r="I136" s="1" t="s">
        <v>645</v>
      </c>
      <c r="J136" s="7" t="s">
        <v>646</v>
      </c>
      <c r="K136" s="1"/>
      <c r="L136" s="1" t="s">
        <v>647</v>
      </c>
      <c r="M136" s="1"/>
      <c r="N136" s="1"/>
      <c r="O136" s="1" t="str">
        <f t="shared" si="1"/>
        <v> = 'B28004_003',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2" t="s">
        <v>10</v>
      </c>
      <c r="B137" s="1"/>
      <c r="C137" s="7" t="s">
        <v>613</v>
      </c>
      <c r="D137" s="9" t="s">
        <v>519</v>
      </c>
      <c r="E137" s="7" t="s">
        <v>637</v>
      </c>
      <c r="F137" s="3" t="str">
        <f>IFERROR(__xludf.DUMMYFUNCTION("REGEXREPLACE(E137,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37" s="7"/>
      <c r="H137" s="7" t="s">
        <v>648</v>
      </c>
      <c r="I137" s="1" t="s">
        <v>649</v>
      </c>
      <c r="J137" s="7" t="s">
        <v>650</v>
      </c>
      <c r="K137" s="1"/>
      <c r="L137" s="1" t="s">
        <v>651</v>
      </c>
      <c r="M137" s="1"/>
      <c r="N137" s="1"/>
      <c r="O137" s="1" t="str">
        <f t="shared" si="1"/>
        <v> = 'B28004_004',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2" t="s">
        <v>10</v>
      </c>
      <c r="B138" s="1"/>
      <c r="C138" s="7" t="s">
        <v>613</v>
      </c>
      <c r="D138" s="9" t="s">
        <v>519</v>
      </c>
      <c r="E138" s="7" t="s">
        <v>637</v>
      </c>
      <c r="F138" s="3" t="str">
        <f>IFERROR(__xludf.DUMMYFUNCTION("REGEXREPLACE(E138,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38" s="7"/>
      <c r="H138" s="7" t="s">
        <v>652</v>
      </c>
      <c r="I138" s="1" t="s">
        <v>653</v>
      </c>
      <c r="J138" s="7" t="s">
        <v>654</v>
      </c>
      <c r="K138" s="1"/>
      <c r="L138" s="1" t="s">
        <v>655</v>
      </c>
      <c r="M138" s="1"/>
      <c r="N138" s="1"/>
      <c r="O138" s="1" t="str">
        <f t="shared" si="1"/>
        <v> = 'B28004_005',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2" t="s">
        <v>10</v>
      </c>
      <c r="B139" s="1"/>
      <c r="C139" s="7" t="s">
        <v>613</v>
      </c>
      <c r="D139" s="9" t="s">
        <v>519</v>
      </c>
      <c r="E139" s="7" t="s">
        <v>637</v>
      </c>
      <c r="F139" s="3" t="str">
        <f>IFERROR(__xludf.DUMMYFUNCTION("REGEXREPLACE(E139,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39" s="7"/>
      <c r="H139" s="7" t="s">
        <v>656</v>
      </c>
      <c r="I139" s="1" t="s">
        <v>657</v>
      </c>
      <c r="J139" s="7" t="s">
        <v>658</v>
      </c>
      <c r="K139" s="1"/>
      <c r="L139" s="1" t="s">
        <v>659</v>
      </c>
      <c r="M139" s="1"/>
      <c r="N139" s="1"/>
      <c r="O139" s="1" t="str">
        <f t="shared" si="1"/>
        <v> = 'B28004_006',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2" t="s">
        <v>10</v>
      </c>
      <c r="B140" s="1"/>
      <c r="C140" s="7" t="s">
        <v>613</v>
      </c>
      <c r="D140" s="9" t="s">
        <v>519</v>
      </c>
      <c r="E140" s="7" t="s">
        <v>637</v>
      </c>
      <c r="F140" s="3" t="str">
        <f>IFERROR(__xludf.DUMMYFUNCTION("REGEXREPLACE(E140,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0" s="7"/>
      <c r="H140" s="7" t="s">
        <v>660</v>
      </c>
      <c r="I140" s="1" t="s">
        <v>661</v>
      </c>
      <c r="J140" s="7" t="s">
        <v>662</v>
      </c>
      <c r="K140" s="1"/>
      <c r="L140" s="1" t="s">
        <v>663</v>
      </c>
      <c r="M140" s="1"/>
      <c r="N140" s="1"/>
      <c r="O140" s="1" t="str">
        <f t="shared" si="1"/>
        <v> = 'B28004_007',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2" t="s">
        <v>10</v>
      </c>
      <c r="B141" s="1"/>
      <c r="C141" s="7" t="s">
        <v>613</v>
      </c>
      <c r="D141" s="9" t="s">
        <v>519</v>
      </c>
      <c r="E141" s="7" t="s">
        <v>637</v>
      </c>
      <c r="F141" s="3" t="str">
        <f>IFERROR(__xludf.DUMMYFUNCTION("REGEXREPLACE(E141,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1" s="7"/>
      <c r="H141" s="7" t="s">
        <v>664</v>
      </c>
      <c r="I141" s="1" t="s">
        <v>665</v>
      </c>
      <c r="J141" s="7" t="s">
        <v>666</v>
      </c>
      <c r="K141" s="1"/>
      <c r="L141" s="1" t="s">
        <v>667</v>
      </c>
      <c r="M141" s="1"/>
      <c r="N141" s="1"/>
      <c r="O141" s="1" t="str">
        <f t="shared" si="1"/>
        <v> = 'B28004_008',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2" t="s">
        <v>10</v>
      </c>
      <c r="B142" s="1"/>
      <c r="C142" s="7" t="s">
        <v>613</v>
      </c>
      <c r="D142" s="9" t="s">
        <v>519</v>
      </c>
      <c r="E142" s="7" t="s">
        <v>637</v>
      </c>
      <c r="F142" s="3" t="str">
        <f>IFERROR(__xludf.DUMMYFUNCTION("REGEXREPLACE(E142,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2" s="7"/>
      <c r="H142" s="7" t="s">
        <v>668</v>
      </c>
      <c r="I142" s="1" t="s">
        <v>669</v>
      </c>
      <c r="J142" s="7" t="s">
        <v>670</v>
      </c>
      <c r="K142" s="1"/>
      <c r="L142" s="1" t="s">
        <v>671</v>
      </c>
      <c r="M142" s="1"/>
      <c r="N142" s="1"/>
      <c r="O142" s="1" t="str">
        <f t="shared" si="1"/>
        <v> = 'B28004_009',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2" t="s">
        <v>10</v>
      </c>
      <c r="B143" s="1"/>
      <c r="C143" s="7" t="s">
        <v>613</v>
      </c>
      <c r="D143" s="9" t="s">
        <v>519</v>
      </c>
      <c r="E143" s="7" t="s">
        <v>637</v>
      </c>
      <c r="F143" s="3" t="str">
        <f>IFERROR(__xludf.DUMMYFUNCTION("REGEXREPLACE(E143,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3" s="7"/>
      <c r="H143" s="7" t="s">
        <v>672</v>
      </c>
      <c r="I143" s="1" t="s">
        <v>673</v>
      </c>
      <c r="J143" s="7" t="s">
        <v>674</v>
      </c>
      <c r="K143" s="1"/>
      <c r="L143" s="1" t="s">
        <v>675</v>
      </c>
      <c r="M143" s="1"/>
      <c r="N143" s="1"/>
      <c r="O143" s="1" t="str">
        <f t="shared" si="1"/>
        <v> = 'B28004_010',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2" t="s">
        <v>10</v>
      </c>
      <c r="B144" s="1"/>
      <c r="C144" s="7" t="s">
        <v>613</v>
      </c>
      <c r="D144" s="9" t="s">
        <v>519</v>
      </c>
      <c r="E144" s="7" t="s">
        <v>637</v>
      </c>
      <c r="F144" s="3" t="str">
        <f>IFERROR(__xludf.DUMMYFUNCTION("REGEXREPLACE(E144,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4" s="7"/>
      <c r="H144" s="7" t="s">
        <v>676</v>
      </c>
      <c r="I144" s="1" t="s">
        <v>677</v>
      </c>
      <c r="J144" s="7" t="s">
        <v>678</v>
      </c>
      <c r="K144" s="1"/>
      <c r="L144" s="1" t="s">
        <v>679</v>
      </c>
      <c r="M144" s="1"/>
      <c r="N144" s="1"/>
      <c r="O144" s="1" t="str">
        <f t="shared" si="1"/>
        <v> = 'B28004_011',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2" t="s">
        <v>10</v>
      </c>
      <c r="B145" s="1"/>
      <c r="C145" s="7" t="s">
        <v>613</v>
      </c>
      <c r="D145" s="9" t="s">
        <v>519</v>
      </c>
      <c r="E145" s="7" t="s">
        <v>637</v>
      </c>
      <c r="F145" s="3" t="str">
        <f>IFERROR(__xludf.DUMMYFUNCTION("REGEXREPLACE(E145,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5" s="7"/>
      <c r="H145" s="7" t="s">
        <v>680</v>
      </c>
      <c r="I145" s="1" t="s">
        <v>681</v>
      </c>
      <c r="J145" s="7" t="s">
        <v>682</v>
      </c>
      <c r="K145" s="1"/>
      <c r="L145" s="1" t="s">
        <v>683</v>
      </c>
      <c r="M145" s="1"/>
      <c r="N145" s="1"/>
      <c r="O145" s="1" t="str">
        <f t="shared" si="1"/>
        <v> = 'B28004_012',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2" t="s">
        <v>10</v>
      </c>
      <c r="B146" s="1"/>
      <c r="C146" s="7" t="s">
        <v>613</v>
      </c>
      <c r="D146" s="9" t="s">
        <v>519</v>
      </c>
      <c r="E146" s="7" t="s">
        <v>637</v>
      </c>
      <c r="F146" s="3" t="str">
        <f>IFERROR(__xludf.DUMMYFUNCTION("REGEXREPLACE(E146,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6" s="7"/>
      <c r="H146" s="7" t="s">
        <v>684</v>
      </c>
      <c r="I146" s="1" t="s">
        <v>685</v>
      </c>
      <c r="J146" s="7" t="s">
        <v>686</v>
      </c>
      <c r="K146" s="1"/>
      <c r="L146" s="1" t="s">
        <v>687</v>
      </c>
      <c r="M146" s="1"/>
      <c r="N146" s="1"/>
      <c r="O146" s="1" t="str">
        <f t="shared" si="1"/>
        <v> = 'B28004_013',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2" t="s">
        <v>10</v>
      </c>
      <c r="B147" s="1"/>
      <c r="C147" s="7" t="s">
        <v>613</v>
      </c>
      <c r="D147" s="9" t="s">
        <v>519</v>
      </c>
      <c r="E147" s="7" t="s">
        <v>637</v>
      </c>
      <c r="F147" s="3" t="str">
        <f>IFERROR(__xludf.DUMMYFUNCTION("REGEXREPLACE(E147,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7" s="7"/>
      <c r="H147" s="7" t="s">
        <v>688</v>
      </c>
      <c r="I147" s="1" t="s">
        <v>689</v>
      </c>
      <c r="J147" s="7" t="s">
        <v>690</v>
      </c>
      <c r="K147" s="1"/>
      <c r="L147" s="1" t="s">
        <v>691</v>
      </c>
      <c r="M147" s="1"/>
      <c r="N147" s="1"/>
      <c r="O147" s="1" t="str">
        <f t="shared" si="1"/>
        <v> = 'B28004_014',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2" t="s">
        <v>10</v>
      </c>
      <c r="B148" s="1"/>
      <c r="C148" s="7" t="s">
        <v>613</v>
      </c>
      <c r="D148" s="9" t="s">
        <v>519</v>
      </c>
      <c r="E148" s="7" t="s">
        <v>637</v>
      </c>
      <c r="F148" s="3" t="str">
        <f>IFERROR(__xludf.DUMMYFUNCTION("REGEXREPLACE(E148,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8" s="7"/>
      <c r="H148" s="7" t="s">
        <v>692</v>
      </c>
      <c r="I148" s="1" t="s">
        <v>693</v>
      </c>
      <c r="J148" s="7" t="s">
        <v>694</v>
      </c>
      <c r="K148" s="1"/>
      <c r="L148" s="1" t="s">
        <v>695</v>
      </c>
      <c r="M148" s="1"/>
      <c r="N148" s="1"/>
      <c r="O148" s="1" t="str">
        <f t="shared" si="1"/>
        <v> = 'B28004_015',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2" t="s">
        <v>10</v>
      </c>
      <c r="B149" s="1"/>
      <c r="C149" s="7" t="s">
        <v>613</v>
      </c>
      <c r="D149" s="9" t="s">
        <v>519</v>
      </c>
      <c r="E149" s="7" t="s">
        <v>637</v>
      </c>
      <c r="F149" s="3" t="str">
        <f>IFERROR(__xludf.DUMMYFUNCTION("REGEXREPLACE(E149,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49" s="7"/>
      <c r="H149" s="7" t="s">
        <v>696</v>
      </c>
      <c r="I149" s="1" t="s">
        <v>697</v>
      </c>
      <c r="J149" s="7" t="s">
        <v>698</v>
      </c>
      <c r="K149" s="1"/>
      <c r="L149" s="1" t="s">
        <v>699</v>
      </c>
      <c r="M149" s="1"/>
      <c r="N149" s="1"/>
      <c r="O149" s="1" t="str">
        <f t="shared" si="1"/>
        <v> = 'B28004_016',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2" t="s">
        <v>10</v>
      </c>
      <c r="B150" s="1"/>
      <c r="C150" s="7" t="s">
        <v>613</v>
      </c>
      <c r="D150" s="9" t="s">
        <v>519</v>
      </c>
      <c r="E150" s="7" t="s">
        <v>637</v>
      </c>
      <c r="F150" s="3" t="str">
        <f>IFERROR(__xludf.DUMMYFUNCTION("REGEXREPLACE(E150,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0" s="7"/>
      <c r="H150" s="7" t="s">
        <v>700</v>
      </c>
      <c r="I150" s="1" t="s">
        <v>701</v>
      </c>
      <c r="J150" s="7" t="s">
        <v>702</v>
      </c>
      <c r="K150" s="1"/>
      <c r="L150" s="1" t="s">
        <v>703</v>
      </c>
      <c r="M150" s="1"/>
      <c r="N150" s="1"/>
      <c r="O150" s="1" t="str">
        <f t="shared" si="1"/>
        <v> = 'B28004_017',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2" t="s">
        <v>10</v>
      </c>
      <c r="B151" s="1"/>
      <c r="C151" s="7" t="s">
        <v>613</v>
      </c>
      <c r="D151" s="9" t="s">
        <v>519</v>
      </c>
      <c r="E151" s="7" t="s">
        <v>637</v>
      </c>
      <c r="F151" s="3" t="str">
        <f>IFERROR(__xludf.DUMMYFUNCTION("REGEXREPLACE(E151,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1" s="7"/>
      <c r="H151" s="7" t="s">
        <v>704</v>
      </c>
      <c r="I151" s="1" t="s">
        <v>705</v>
      </c>
      <c r="J151" s="7" t="s">
        <v>706</v>
      </c>
      <c r="K151" s="1"/>
      <c r="L151" s="1" t="s">
        <v>707</v>
      </c>
      <c r="M151" s="1"/>
      <c r="N151" s="1"/>
      <c r="O151" s="1" t="str">
        <f t="shared" si="1"/>
        <v> = 'B28004_018',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2" t="s">
        <v>10</v>
      </c>
      <c r="B152" s="1"/>
      <c r="C152" s="7" t="s">
        <v>613</v>
      </c>
      <c r="D152" s="9" t="s">
        <v>519</v>
      </c>
      <c r="E152" s="7" t="s">
        <v>637</v>
      </c>
      <c r="F152" s="3" t="str">
        <f>IFERROR(__xludf.DUMMYFUNCTION("REGEXREPLACE(E152,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2" s="7"/>
      <c r="H152" s="7" t="s">
        <v>708</v>
      </c>
      <c r="I152" s="1" t="s">
        <v>709</v>
      </c>
      <c r="J152" s="7" t="s">
        <v>710</v>
      </c>
      <c r="K152" s="1"/>
      <c r="L152" s="1" t="s">
        <v>711</v>
      </c>
      <c r="M152" s="1"/>
      <c r="N152" s="1"/>
      <c r="O152" s="1" t="str">
        <f t="shared" si="1"/>
        <v> = 'B28004_019',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2" t="s">
        <v>10</v>
      </c>
      <c r="B153" s="1"/>
      <c r="C153" s="7" t="s">
        <v>613</v>
      </c>
      <c r="D153" s="9" t="s">
        <v>519</v>
      </c>
      <c r="E153" s="7" t="s">
        <v>637</v>
      </c>
      <c r="F153" s="3" t="str">
        <f>IFERROR(__xludf.DUMMYFUNCTION("REGEXREPLACE(E153,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3" s="7"/>
      <c r="H153" s="7" t="s">
        <v>712</v>
      </c>
      <c r="I153" s="1" t="s">
        <v>713</v>
      </c>
      <c r="J153" s="7" t="s">
        <v>714</v>
      </c>
      <c r="K153" s="1"/>
      <c r="L153" s="1" t="s">
        <v>715</v>
      </c>
      <c r="M153" s="1"/>
      <c r="N153" s="1"/>
      <c r="O153" s="1" t="str">
        <f t="shared" si="1"/>
        <v> = 'B28004_020',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2" t="s">
        <v>10</v>
      </c>
      <c r="B154" s="1"/>
      <c r="C154" s="7" t="s">
        <v>613</v>
      </c>
      <c r="D154" s="9" t="s">
        <v>519</v>
      </c>
      <c r="E154" s="7" t="s">
        <v>637</v>
      </c>
      <c r="F154" s="3" t="str">
        <f>IFERROR(__xludf.DUMMYFUNCTION("REGEXREPLACE(E154,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4" s="7"/>
      <c r="H154" s="7" t="s">
        <v>716</v>
      </c>
      <c r="I154" s="1" t="s">
        <v>717</v>
      </c>
      <c r="J154" s="7" t="s">
        <v>718</v>
      </c>
      <c r="K154" s="1"/>
      <c r="L154" s="1" t="s">
        <v>719</v>
      </c>
      <c r="M154" s="1"/>
      <c r="N154" s="1"/>
      <c r="O154" s="1" t="str">
        <f t="shared" si="1"/>
        <v> = 'B28004_021',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2" t="s">
        <v>10</v>
      </c>
      <c r="B155" s="1"/>
      <c r="C155" s="7" t="s">
        <v>613</v>
      </c>
      <c r="D155" s="9" t="s">
        <v>519</v>
      </c>
      <c r="E155" s="7" t="s">
        <v>637</v>
      </c>
      <c r="F155" s="3" t="str">
        <f>IFERROR(__xludf.DUMMYFUNCTION("REGEXREPLACE(E155,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5" s="7"/>
      <c r="H155" s="7" t="s">
        <v>720</v>
      </c>
      <c r="I155" s="1" t="s">
        <v>721</v>
      </c>
      <c r="J155" s="7" t="s">
        <v>722</v>
      </c>
      <c r="K155" s="1"/>
      <c r="L155" s="1" t="s">
        <v>723</v>
      </c>
      <c r="M155" s="1"/>
      <c r="N155" s="1"/>
      <c r="O155" s="1" t="str">
        <f t="shared" si="1"/>
        <v> = 'B28004_022',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2" t="s">
        <v>10</v>
      </c>
      <c r="B156" s="1"/>
      <c r="C156" s="7" t="s">
        <v>613</v>
      </c>
      <c r="D156" s="9" t="s">
        <v>519</v>
      </c>
      <c r="E156" s="7" t="s">
        <v>637</v>
      </c>
      <c r="F156" s="3" t="str">
        <f>IFERROR(__xludf.DUMMYFUNCTION("REGEXREPLACE(E156,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6" s="7"/>
      <c r="H156" s="7" t="s">
        <v>724</v>
      </c>
      <c r="I156" s="1" t="s">
        <v>725</v>
      </c>
      <c r="J156" s="7" t="s">
        <v>726</v>
      </c>
      <c r="K156" s="1"/>
      <c r="L156" s="1" t="s">
        <v>727</v>
      </c>
      <c r="M156" s="1"/>
      <c r="N156" s="1"/>
      <c r="O156" s="1" t="str">
        <f t="shared" si="1"/>
        <v> = 'B28004_023',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2" t="s">
        <v>10</v>
      </c>
      <c r="B157" s="1"/>
      <c r="C157" s="7" t="s">
        <v>613</v>
      </c>
      <c r="D157" s="9" t="s">
        <v>519</v>
      </c>
      <c r="E157" s="7" t="s">
        <v>637</v>
      </c>
      <c r="F157" s="3" t="str">
        <f>IFERROR(__xludf.DUMMYFUNCTION("REGEXREPLACE(E157,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7" s="7"/>
      <c r="H157" s="7" t="s">
        <v>728</v>
      </c>
      <c r="I157" s="1" t="s">
        <v>729</v>
      </c>
      <c r="J157" s="7" t="s">
        <v>730</v>
      </c>
      <c r="K157" s="1"/>
      <c r="L157" s="1" t="s">
        <v>731</v>
      </c>
      <c r="M157" s="1"/>
      <c r="N157" s="1"/>
      <c r="O157" s="1" t="str">
        <f t="shared" si="1"/>
        <v> = 'B28004_024',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2" t="s">
        <v>10</v>
      </c>
      <c r="B158" s="1"/>
      <c r="C158" s="7" t="s">
        <v>613</v>
      </c>
      <c r="D158" s="9" t="s">
        <v>519</v>
      </c>
      <c r="E158" s="7" t="s">
        <v>637</v>
      </c>
      <c r="F158" s="3" t="str">
        <f>IFERROR(__xludf.DUMMYFUNCTION("REGEXREPLACE(E158, ""[^A-Za-z0-9]"", """")"),"HouseholdIncomeintheLast12Monthsin2023InflationAdjustedDollarsbyPresenceandTypeofInternetSubscriptioninHousehold")</f>
        <v>HouseholdIncomeintheLast12Monthsin2023InflationAdjustedDollarsbyPresenceandTypeofInternetSubscriptioninHousehold</v>
      </c>
      <c r="G158" s="7"/>
      <c r="H158" s="7" t="s">
        <v>732</v>
      </c>
      <c r="I158" s="1" t="s">
        <v>733</v>
      </c>
      <c r="J158" s="7" t="s">
        <v>734</v>
      </c>
      <c r="K158" s="1"/>
      <c r="L158" s="1" t="s">
        <v>735</v>
      </c>
      <c r="M158" s="1"/>
      <c r="N158" s="1"/>
      <c r="O158" s="1" t="str">
        <f t="shared" si="1"/>
        <v> = 'B28004_025',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2" t="s">
        <v>10</v>
      </c>
      <c r="B159" s="1"/>
      <c r="C159" s="7" t="s">
        <v>613</v>
      </c>
      <c r="D159" s="9" t="s">
        <v>519</v>
      </c>
      <c r="E159" s="7" t="s">
        <v>736</v>
      </c>
      <c r="F159" s="3" t="str">
        <f>IFERROR(__xludf.DUMMYFUNCTION("REGEXREPLACE(E159, ""[^A-Za-z0-9]"", """")"),"AgebyPresenceofaComputerandTypesofInternetSubscriptioninHousehold")</f>
        <v>AgebyPresenceofaComputerandTypesofInternetSubscriptioninHousehold</v>
      </c>
      <c r="G159" s="7"/>
      <c r="H159" s="7" t="s">
        <v>16</v>
      </c>
      <c r="I159" s="1" t="s">
        <v>737</v>
      </c>
      <c r="J159" s="7" t="s">
        <v>738</v>
      </c>
      <c r="K159" s="1"/>
      <c r="L159" s="1" t="s">
        <v>20</v>
      </c>
      <c r="M159" s="1"/>
      <c r="N159" s="1"/>
      <c r="O159" s="1" t="str">
        <f t="shared" si="1"/>
        <v> = 'B28005_001',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2" t="s">
        <v>10</v>
      </c>
      <c r="B160" s="1"/>
      <c r="C160" s="7" t="s">
        <v>613</v>
      </c>
      <c r="D160" s="9" t="s">
        <v>519</v>
      </c>
      <c r="E160" s="7" t="s">
        <v>736</v>
      </c>
      <c r="F160" s="3" t="str">
        <f>IFERROR(__xludf.DUMMYFUNCTION("REGEXREPLACE(E160, ""[^A-Za-z0-9]"", """")"),"AgebyPresenceofaComputerandTypesofInternetSubscriptioninHousehold")</f>
        <v>AgebyPresenceofaComputerandTypesofInternetSubscriptioninHousehold</v>
      </c>
      <c r="G160" s="7"/>
      <c r="H160" s="7" t="s">
        <v>739</v>
      </c>
      <c r="I160" s="1" t="s">
        <v>740</v>
      </c>
      <c r="J160" s="7" t="s">
        <v>741</v>
      </c>
      <c r="K160" s="1"/>
      <c r="L160" s="1" t="s">
        <v>742</v>
      </c>
      <c r="M160" s="1"/>
      <c r="N160" s="1"/>
      <c r="O160" s="1" t="str">
        <f t="shared" si="1"/>
        <v> = 'B28005_002',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2" t="s">
        <v>10</v>
      </c>
      <c r="B161" s="1"/>
      <c r="C161" s="7" t="s">
        <v>613</v>
      </c>
      <c r="D161" s="9" t="s">
        <v>519</v>
      </c>
      <c r="E161" s="7" t="s">
        <v>736</v>
      </c>
      <c r="F161" s="3" t="str">
        <f>IFERROR(__xludf.DUMMYFUNCTION("REGEXREPLACE(E161, ""[^A-Za-z0-9]"", """")"),"AgebyPresenceofaComputerandTypesofInternetSubscriptioninHousehold")</f>
        <v>AgebyPresenceofaComputerandTypesofInternetSubscriptioninHousehold</v>
      </c>
      <c r="G161" s="7"/>
      <c r="H161" s="7" t="s">
        <v>743</v>
      </c>
      <c r="I161" s="1" t="s">
        <v>744</v>
      </c>
      <c r="J161" s="7" t="s">
        <v>745</v>
      </c>
      <c r="K161" s="1"/>
      <c r="L161" s="1" t="s">
        <v>746</v>
      </c>
      <c r="M161" s="1"/>
      <c r="N161" s="1"/>
      <c r="O161" s="1" t="str">
        <f t="shared" si="1"/>
        <v> = 'B28005_003',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2" t="s">
        <v>10</v>
      </c>
      <c r="B162" s="1"/>
      <c r="C162" s="7" t="s">
        <v>613</v>
      </c>
      <c r="D162" s="9" t="s">
        <v>519</v>
      </c>
      <c r="E162" s="7" t="s">
        <v>736</v>
      </c>
      <c r="F162" s="3" t="str">
        <f>IFERROR(__xludf.DUMMYFUNCTION("REGEXREPLACE(E162, ""[^A-Za-z0-9]"", """")"),"AgebyPresenceofaComputerandTypesofInternetSubscriptioninHousehold")</f>
        <v>AgebyPresenceofaComputerandTypesofInternetSubscriptioninHousehold</v>
      </c>
      <c r="G162" s="7"/>
      <c r="H162" s="7" t="s">
        <v>747</v>
      </c>
      <c r="I162" s="1" t="s">
        <v>748</v>
      </c>
      <c r="J162" s="7" t="s">
        <v>749</v>
      </c>
      <c r="K162" s="1"/>
      <c r="L162" s="1" t="s">
        <v>750</v>
      </c>
      <c r="M162" s="1"/>
      <c r="N162" s="1"/>
      <c r="O162" s="1" t="str">
        <f t="shared" si="1"/>
        <v> = 'B28005_004',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2" t="s">
        <v>10</v>
      </c>
      <c r="B163" s="1"/>
      <c r="C163" s="7" t="s">
        <v>613</v>
      </c>
      <c r="D163" s="9" t="s">
        <v>519</v>
      </c>
      <c r="E163" s="7" t="s">
        <v>736</v>
      </c>
      <c r="F163" s="3" t="str">
        <f>IFERROR(__xludf.DUMMYFUNCTION("REGEXREPLACE(E163, ""[^A-Za-z0-9]"", """")"),"AgebyPresenceofaComputerandTypesofInternetSubscriptioninHousehold")</f>
        <v>AgebyPresenceofaComputerandTypesofInternetSubscriptioninHousehold</v>
      </c>
      <c r="G163" s="7"/>
      <c r="H163" s="7" t="s">
        <v>751</v>
      </c>
      <c r="I163" s="1" t="s">
        <v>752</v>
      </c>
      <c r="J163" s="7" t="s">
        <v>753</v>
      </c>
      <c r="K163" s="1"/>
      <c r="L163" s="1" t="s">
        <v>754</v>
      </c>
      <c r="M163" s="1"/>
      <c r="N163" s="1"/>
      <c r="O163" s="1" t="str">
        <f t="shared" si="1"/>
        <v> = 'B28005_005',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2" t="s">
        <v>10</v>
      </c>
      <c r="B164" s="1"/>
      <c r="C164" s="7" t="s">
        <v>613</v>
      </c>
      <c r="D164" s="9" t="s">
        <v>519</v>
      </c>
      <c r="E164" s="7" t="s">
        <v>736</v>
      </c>
      <c r="F164" s="3" t="str">
        <f>IFERROR(__xludf.DUMMYFUNCTION("REGEXREPLACE(E164, ""[^A-Za-z0-9]"", """")"),"AgebyPresenceofaComputerandTypesofInternetSubscriptioninHousehold")</f>
        <v>AgebyPresenceofaComputerandTypesofInternetSubscriptioninHousehold</v>
      </c>
      <c r="G164" s="7"/>
      <c r="H164" s="7" t="s">
        <v>755</v>
      </c>
      <c r="I164" s="1" t="s">
        <v>756</v>
      </c>
      <c r="J164" s="7" t="s">
        <v>757</v>
      </c>
      <c r="K164" s="1"/>
      <c r="L164" s="1" t="s">
        <v>758</v>
      </c>
      <c r="M164" s="1"/>
      <c r="N164" s="1"/>
      <c r="O164" s="1" t="str">
        <f t="shared" si="1"/>
        <v> = 'B28005_006',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2" t="s">
        <v>10</v>
      </c>
      <c r="B165" s="1"/>
      <c r="C165" s="7" t="s">
        <v>613</v>
      </c>
      <c r="D165" s="9" t="s">
        <v>519</v>
      </c>
      <c r="E165" s="7" t="s">
        <v>736</v>
      </c>
      <c r="F165" s="3" t="str">
        <f>IFERROR(__xludf.DUMMYFUNCTION("REGEXREPLACE(E165, ""[^A-Za-z0-9]"", """")"),"AgebyPresenceofaComputerandTypesofInternetSubscriptioninHousehold")</f>
        <v>AgebyPresenceofaComputerandTypesofInternetSubscriptioninHousehold</v>
      </c>
      <c r="G165" s="7"/>
      <c r="H165" s="7" t="s">
        <v>759</v>
      </c>
      <c r="I165" s="1" t="s">
        <v>760</v>
      </c>
      <c r="J165" s="7" t="s">
        <v>761</v>
      </c>
      <c r="K165" s="1"/>
      <c r="L165" s="1" t="s">
        <v>762</v>
      </c>
      <c r="M165" s="1"/>
      <c r="N165" s="1"/>
      <c r="O165" s="1" t="str">
        <f t="shared" si="1"/>
        <v> = 'B28005_007',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2" t="s">
        <v>10</v>
      </c>
      <c r="B166" s="1"/>
      <c r="C166" s="7" t="s">
        <v>613</v>
      </c>
      <c r="D166" s="9" t="s">
        <v>519</v>
      </c>
      <c r="E166" s="7" t="s">
        <v>736</v>
      </c>
      <c r="F166" s="3" t="str">
        <f>IFERROR(__xludf.DUMMYFUNCTION("REGEXREPLACE(E166, ""[^A-Za-z0-9]"", """")"),"AgebyPresenceofaComputerandTypesofInternetSubscriptioninHousehold")</f>
        <v>AgebyPresenceofaComputerandTypesofInternetSubscriptioninHousehold</v>
      </c>
      <c r="G166" s="7"/>
      <c r="H166" s="7" t="s">
        <v>763</v>
      </c>
      <c r="I166" s="1" t="s">
        <v>764</v>
      </c>
      <c r="J166" s="7" t="s">
        <v>765</v>
      </c>
      <c r="K166" s="1"/>
      <c r="L166" s="1" t="s">
        <v>766</v>
      </c>
      <c r="M166" s="1"/>
      <c r="N166" s="1"/>
      <c r="O166" s="1" t="str">
        <f t="shared" si="1"/>
        <v> = 'B28005_008',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2" t="s">
        <v>10</v>
      </c>
      <c r="B167" s="1"/>
      <c r="C167" s="7" t="s">
        <v>613</v>
      </c>
      <c r="D167" s="9" t="s">
        <v>519</v>
      </c>
      <c r="E167" s="7" t="s">
        <v>736</v>
      </c>
      <c r="F167" s="3" t="str">
        <f>IFERROR(__xludf.DUMMYFUNCTION("REGEXREPLACE(E167, ""[^A-Za-z0-9]"", """")"),"AgebyPresenceofaComputerandTypesofInternetSubscriptioninHousehold")</f>
        <v>AgebyPresenceofaComputerandTypesofInternetSubscriptioninHousehold</v>
      </c>
      <c r="G167" s="7"/>
      <c r="H167" s="7" t="s">
        <v>767</v>
      </c>
      <c r="I167" s="1" t="s">
        <v>768</v>
      </c>
      <c r="J167" s="7" t="s">
        <v>769</v>
      </c>
      <c r="K167" s="1"/>
      <c r="L167" s="1" t="s">
        <v>770</v>
      </c>
      <c r="M167" s="1"/>
      <c r="N167" s="1"/>
      <c r="O167" s="1" t="str">
        <f t="shared" si="1"/>
        <v> = 'B28005_009',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2" t="s">
        <v>10</v>
      </c>
      <c r="B168" s="1"/>
      <c r="C168" s="7" t="s">
        <v>613</v>
      </c>
      <c r="D168" s="9" t="s">
        <v>519</v>
      </c>
      <c r="E168" s="7" t="s">
        <v>736</v>
      </c>
      <c r="F168" s="3" t="str">
        <f>IFERROR(__xludf.DUMMYFUNCTION("REGEXREPLACE(E168, ""[^A-Za-z0-9]"", """")"),"AgebyPresenceofaComputerandTypesofInternetSubscriptioninHousehold")</f>
        <v>AgebyPresenceofaComputerandTypesofInternetSubscriptioninHousehold</v>
      </c>
      <c r="G168" s="7"/>
      <c r="H168" s="7" t="s">
        <v>771</v>
      </c>
      <c r="I168" s="1" t="s">
        <v>772</v>
      </c>
      <c r="J168" s="7" t="s">
        <v>773</v>
      </c>
      <c r="K168" s="1"/>
      <c r="L168" s="1" t="s">
        <v>774</v>
      </c>
      <c r="M168" s="1"/>
      <c r="N168" s="1"/>
      <c r="O168" s="1" t="str">
        <f t="shared" si="1"/>
        <v> = 'B28005_010',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2" t="s">
        <v>10</v>
      </c>
      <c r="B169" s="1"/>
      <c r="C169" s="7" t="s">
        <v>613</v>
      </c>
      <c r="D169" s="9" t="s">
        <v>519</v>
      </c>
      <c r="E169" s="7" t="s">
        <v>736</v>
      </c>
      <c r="F169" s="3" t="str">
        <f>IFERROR(__xludf.DUMMYFUNCTION("REGEXREPLACE(E169, ""[^A-Za-z0-9]"", """")"),"AgebyPresenceofaComputerandTypesofInternetSubscriptioninHousehold")</f>
        <v>AgebyPresenceofaComputerandTypesofInternetSubscriptioninHousehold</v>
      </c>
      <c r="G169" s="7"/>
      <c r="H169" s="7" t="s">
        <v>775</v>
      </c>
      <c r="I169" s="1" t="s">
        <v>776</v>
      </c>
      <c r="J169" s="7" t="s">
        <v>777</v>
      </c>
      <c r="K169" s="1"/>
      <c r="L169" s="1" t="s">
        <v>778</v>
      </c>
      <c r="M169" s="1"/>
      <c r="N169" s="1"/>
      <c r="O169" s="1" t="str">
        <f t="shared" si="1"/>
        <v> = 'B28005_011',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2" t="s">
        <v>10</v>
      </c>
      <c r="B170" s="1"/>
      <c r="C170" s="7" t="s">
        <v>613</v>
      </c>
      <c r="D170" s="9" t="s">
        <v>519</v>
      </c>
      <c r="E170" s="7" t="s">
        <v>736</v>
      </c>
      <c r="F170" s="3" t="str">
        <f>IFERROR(__xludf.DUMMYFUNCTION("REGEXREPLACE(E170, ""[^A-Za-z0-9]"", """")"),"AgebyPresenceofaComputerandTypesofInternetSubscriptioninHousehold")</f>
        <v>AgebyPresenceofaComputerandTypesofInternetSubscriptioninHousehold</v>
      </c>
      <c r="G170" s="7"/>
      <c r="H170" s="7" t="s">
        <v>779</v>
      </c>
      <c r="I170" s="1" t="s">
        <v>780</v>
      </c>
      <c r="J170" s="7" t="s">
        <v>781</v>
      </c>
      <c r="K170" s="1"/>
      <c r="L170" s="1" t="s">
        <v>782</v>
      </c>
      <c r="M170" s="1"/>
      <c r="N170" s="1"/>
      <c r="O170" s="1" t="str">
        <f t="shared" si="1"/>
        <v> = 'B28005_012',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2" t="s">
        <v>10</v>
      </c>
      <c r="B171" s="1"/>
      <c r="C171" s="7" t="s">
        <v>613</v>
      </c>
      <c r="D171" s="9" t="s">
        <v>519</v>
      </c>
      <c r="E171" s="7" t="s">
        <v>736</v>
      </c>
      <c r="F171" s="3" t="str">
        <f>IFERROR(__xludf.DUMMYFUNCTION("REGEXREPLACE(E171, ""[^A-Za-z0-9]"", """")"),"AgebyPresenceofaComputerandTypesofInternetSubscriptioninHousehold")</f>
        <v>AgebyPresenceofaComputerandTypesofInternetSubscriptioninHousehold</v>
      </c>
      <c r="G171" s="7"/>
      <c r="H171" s="7" t="s">
        <v>783</v>
      </c>
      <c r="I171" s="1" t="s">
        <v>784</v>
      </c>
      <c r="J171" s="7" t="s">
        <v>785</v>
      </c>
      <c r="K171" s="1"/>
      <c r="L171" s="1" t="s">
        <v>786</v>
      </c>
      <c r="M171" s="1"/>
      <c r="N171" s="1"/>
      <c r="O171" s="1" t="str">
        <f t="shared" si="1"/>
        <v> = 'B28005_013',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2" t="s">
        <v>10</v>
      </c>
      <c r="B172" s="1"/>
      <c r="C172" s="7" t="s">
        <v>613</v>
      </c>
      <c r="D172" s="9" t="s">
        <v>519</v>
      </c>
      <c r="E172" s="7" t="s">
        <v>736</v>
      </c>
      <c r="F172" s="3" t="str">
        <f>IFERROR(__xludf.DUMMYFUNCTION("REGEXREPLACE(E172, ""[^A-Za-z0-9]"", """")"),"AgebyPresenceofaComputerandTypesofInternetSubscriptioninHousehold")</f>
        <v>AgebyPresenceofaComputerandTypesofInternetSubscriptioninHousehold</v>
      </c>
      <c r="G172" s="7"/>
      <c r="H172" s="7" t="s">
        <v>787</v>
      </c>
      <c r="I172" s="1" t="s">
        <v>788</v>
      </c>
      <c r="J172" s="7" t="s">
        <v>789</v>
      </c>
      <c r="K172" s="1"/>
      <c r="L172" s="1" t="s">
        <v>790</v>
      </c>
      <c r="M172" s="1"/>
      <c r="N172" s="1"/>
      <c r="O172" s="1" t="str">
        <f t="shared" si="1"/>
        <v> = 'B28005_014',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2" t="s">
        <v>10</v>
      </c>
      <c r="B173" s="1"/>
      <c r="C173" s="7" t="s">
        <v>613</v>
      </c>
      <c r="D173" s="9" t="s">
        <v>519</v>
      </c>
      <c r="E173" s="7" t="s">
        <v>736</v>
      </c>
      <c r="F173" s="3" t="str">
        <f>IFERROR(__xludf.DUMMYFUNCTION("REGEXREPLACE(E173, ""[^A-Za-z0-9]"", """")"),"AgebyPresenceofaComputerandTypesofInternetSubscriptioninHousehold")</f>
        <v>AgebyPresenceofaComputerandTypesofInternetSubscriptioninHousehold</v>
      </c>
      <c r="G173" s="7"/>
      <c r="H173" s="7" t="s">
        <v>791</v>
      </c>
      <c r="I173" s="1" t="s">
        <v>792</v>
      </c>
      <c r="J173" s="7" t="s">
        <v>793</v>
      </c>
      <c r="K173" s="1"/>
      <c r="L173" s="1" t="s">
        <v>794</v>
      </c>
      <c r="M173" s="1"/>
      <c r="N173" s="1"/>
      <c r="O173" s="1" t="str">
        <f t="shared" si="1"/>
        <v> = 'B28005_015',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2" t="s">
        <v>10</v>
      </c>
      <c r="B174" s="1"/>
      <c r="C174" s="7" t="s">
        <v>613</v>
      </c>
      <c r="D174" s="9" t="s">
        <v>519</v>
      </c>
      <c r="E174" s="7" t="s">
        <v>736</v>
      </c>
      <c r="F174" s="3" t="str">
        <f>IFERROR(__xludf.DUMMYFUNCTION("REGEXREPLACE(E174, ""[^A-Za-z0-9]"", """")"),"AgebyPresenceofaComputerandTypesofInternetSubscriptioninHousehold")</f>
        <v>AgebyPresenceofaComputerandTypesofInternetSubscriptioninHousehold</v>
      </c>
      <c r="G174" s="7"/>
      <c r="H174" s="7" t="s">
        <v>795</v>
      </c>
      <c r="I174" s="1" t="s">
        <v>796</v>
      </c>
      <c r="J174" s="7" t="s">
        <v>797</v>
      </c>
      <c r="K174" s="1"/>
      <c r="L174" s="1" t="s">
        <v>798</v>
      </c>
      <c r="M174" s="1"/>
      <c r="N174" s="1"/>
      <c r="O174" s="1" t="str">
        <f t="shared" si="1"/>
        <v> = 'B28005_016',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2" t="s">
        <v>10</v>
      </c>
      <c r="B175" s="1"/>
      <c r="C175" s="7" t="s">
        <v>613</v>
      </c>
      <c r="D175" s="9" t="s">
        <v>519</v>
      </c>
      <c r="E175" s="7" t="s">
        <v>736</v>
      </c>
      <c r="F175" s="3" t="str">
        <f>IFERROR(__xludf.DUMMYFUNCTION("REGEXREPLACE(E175, ""[^A-Za-z0-9]"", """")"),"AgebyPresenceofaComputerandTypesofInternetSubscriptioninHousehold")</f>
        <v>AgebyPresenceofaComputerandTypesofInternetSubscriptioninHousehold</v>
      </c>
      <c r="G175" s="7"/>
      <c r="H175" s="7" t="s">
        <v>799</v>
      </c>
      <c r="I175" s="1" t="s">
        <v>800</v>
      </c>
      <c r="J175" s="7" t="s">
        <v>801</v>
      </c>
      <c r="K175" s="1"/>
      <c r="L175" s="1" t="s">
        <v>802</v>
      </c>
      <c r="M175" s="1"/>
      <c r="N175" s="1"/>
      <c r="O175" s="1" t="str">
        <f t="shared" si="1"/>
        <v> = 'B28005_017',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2" t="s">
        <v>10</v>
      </c>
      <c r="B176" s="1"/>
      <c r="C176" s="7" t="s">
        <v>613</v>
      </c>
      <c r="D176" s="9" t="s">
        <v>519</v>
      </c>
      <c r="E176" s="7" t="s">
        <v>736</v>
      </c>
      <c r="F176" s="3" t="str">
        <f>IFERROR(__xludf.DUMMYFUNCTION("REGEXREPLACE(E176, ""[^A-Za-z0-9]"", """")"),"AgebyPresenceofaComputerandTypesofInternetSubscriptioninHousehold")</f>
        <v>AgebyPresenceofaComputerandTypesofInternetSubscriptioninHousehold</v>
      </c>
      <c r="G176" s="7"/>
      <c r="H176" s="7" t="s">
        <v>803</v>
      </c>
      <c r="I176" s="1" t="s">
        <v>804</v>
      </c>
      <c r="J176" s="7" t="s">
        <v>805</v>
      </c>
      <c r="K176" s="1"/>
      <c r="L176" s="1" t="s">
        <v>806</v>
      </c>
      <c r="M176" s="1"/>
      <c r="N176" s="1"/>
      <c r="O176" s="1" t="str">
        <f t="shared" si="1"/>
        <v> = 'B28005_018',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2" t="s">
        <v>10</v>
      </c>
      <c r="B177" s="1"/>
      <c r="C177" s="7" t="s">
        <v>613</v>
      </c>
      <c r="D177" s="9" t="s">
        <v>519</v>
      </c>
      <c r="E177" s="7" t="s">
        <v>736</v>
      </c>
      <c r="F177" s="3" t="str">
        <f>IFERROR(__xludf.DUMMYFUNCTION("REGEXREPLACE(E177, ""[^A-Za-z0-9]"", """")"),"AgebyPresenceofaComputerandTypesofInternetSubscriptioninHousehold")</f>
        <v>AgebyPresenceofaComputerandTypesofInternetSubscriptioninHousehold</v>
      </c>
      <c r="G177" s="7"/>
      <c r="H177" s="7" t="s">
        <v>807</v>
      </c>
      <c r="I177" s="1" t="s">
        <v>808</v>
      </c>
      <c r="J177" s="7" t="s">
        <v>809</v>
      </c>
      <c r="K177" s="1"/>
      <c r="L177" s="1" t="s">
        <v>810</v>
      </c>
      <c r="M177" s="1"/>
      <c r="N177" s="1"/>
      <c r="O177" s="1" t="str">
        <f t="shared" si="1"/>
        <v> = 'B28005_019',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2" t="s">
        <v>10</v>
      </c>
      <c r="B178" s="1"/>
      <c r="C178" s="7" t="s">
        <v>613</v>
      </c>
      <c r="D178" s="9" t="s">
        <v>519</v>
      </c>
      <c r="E178" s="7" t="s">
        <v>811</v>
      </c>
      <c r="F178" s="3" t="str">
        <f>IFERROR(__xludf.DUMMYFUNCTION("REGEXREPLACE(E178, ""[^A-Za-z0-9]"", """")"),"EducationalAttainmentbyPresenceofaComputerandTypesofInternetSubscriptioninHousehold")</f>
        <v>EducationalAttainmentbyPresenceofaComputerandTypesofInternetSubscriptioninHousehold</v>
      </c>
      <c r="G178" s="7"/>
      <c r="H178" s="7" t="s">
        <v>16</v>
      </c>
      <c r="I178" s="1" t="s">
        <v>812</v>
      </c>
      <c r="J178" s="7" t="s">
        <v>813</v>
      </c>
      <c r="K178" s="1"/>
      <c r="L178" s="1" t="s">
        <v>20</v>
      </c>
      <c r="M178" s="1"/>
      <c r="N178" s="1"/>
      <c r="O178" s="1" t="str">
        <f t="shared" si="1"/>
        <v> = 'B28006_001',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2" t="s">
        <v>10</v>
      </c>
      <c r="B179" s="1"/>
      <c r="C179" s="7" t="s">
        <v>613</v>
      </c>
      <c r="D179" s="9" t="s">
        <v>519</v>
      </c>
      <c r="E179" s="7" t="s">
        <v>811</v>
      </c>
      <c r="F179" s="3" t="str">
        <f>IFERROR(__xludf.DUMMYFUNCTION("REGEXREPLACE(E179, ""[^A-Za-z0-9]"", """")"),"EducationalAttainmentbyPresenceofaComputerandTypesofInternetSubscriptioninHousehold")</f>
        <v>EducationalAttainmentbyPresenceofaComputerandTypesofInternetSubscriptioninHousehold</v>
      </c>
      <c r="G179" s="7"/>
      <c r="H179" s="7" t="s">
        <v>814</v>
      </c>
      <c r="I179" s="1" t="s">
        <v>815</v>
      </c>
      <c r="J179" s="7" t="s">
        <v>816</v>
      </c>
      <c r="K179" s="1"/>
      <c r="L179" s="1" t="s">
        <v>817</v>
      </c>
      <c r="M179" s="1"/>
      <c r="N179" s="1"/>
      <c r="O179" s="1" t="str">
        <f t="shared" si="1"/>
        <v> = 'B28006_002',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2" t="s">
        <v>10</v>
      </c>
      <c r="B180" s="1"/>
      <c r="C180" s="7" t="s">
        <v>613</v>
      </c>
      <c r="D180" s="9" t="s">
        <v>519</v>
      </c>
      <c r="E180" s="7" t="s">
        <v>811</v>
      </c>
      <c r="F180" s="3" t="str">
        <f>IFERROR(__xludf.DUMMYFUNCTION("REGEXREPLACE(E180, ""[^A-Za-z0-9]"", """")"),"EducationalAttainmentbyPresenceofaComputerandTypesofInternetSubscriptioninHousehold")</f>
        <v>EducationalAttainmentbyPresenceofaComputerandTypesofInternetSubscriptioninHousehold</v>
      </c>
      <c r="G180" s="7"/>
      <c r="H180" s="7" t="s">
        <v>818</v>
      </c>
      <c r="I180" s="1" t="s">
        <v>819</v>
      </c>
      <c r="J180" s="7" t="s">
        <v>820</v>
      </c>
      <c r="K180" s="1"/>
      <c r="L180" s="1" t="s">
        <v>821</v>
      </c>
      <c r="M180" s="1"/>
      <c r="N180" s="1"/>
      <c r="O180" s="1" t="str">
        <f t="shared" si="1"/>
        <v> = 'B28006_003',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2" t="s">
        <v>10</v>
      </c>
      <c r="B181" s="1"/>
      <c r="C181" s="7" t="s">
        <v>613</v>
      </c>
      <c r="D181" s="9" t="s">
        <v>519</v>
      </c>
      <c r="E181" s="7" t="s">
        <v>811</v>
      </c>
      <c r="F181" s="3" t="str">
        <f>IFERROR(__xludf.DUMMYFUNCTION("REGEXREPLACE(E181, ""[^A-Za-z0-9]"", """")"),"EducationalAttainmentbyPresenceofaComputerandTypesofInternetSubscriptioninHousehold")</f>
        <v>EducationalAttainmentbyPresenceofaComputerandTypesofInternetSubscriptioninHousehold</v>
      </c>
      <c r="G181" s="7"/>
      <c r="H181" s="7" t="s">
        <v>822</v>
      </c>
      <c r="I181" s="1" t="s">
        <v>823</v>
      </c>
      <c r="J181" s="7" t="s">
        <v>824</v>
      </c>
      <c r="K181" s="1"/>
      <c r="L181" s="1" t="s">
        <v>825</v>
      </c>
      <c r="M181" s="1"/>
      <c r="N181" s="1"/>
      <c r="O181" s="1" t="str">
        <f t="shared" si="1"/>
        <v> = 'B28006_004',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2" t="s">
        <v>10</v>
      </c>
      <c r="B182" s="1"/>
      <c r="C182" s="7" t="s">
        <v>613</v>
      </c>
      <c r="D182" s="9" t="s">
        <v>519</v>
      </c>
      <c r="E182" s="7" t="s">
        <v>811</v>
      </c>
      <c r="F182" s="3" t="str">
        <f>IFERROR(__xludf.DUMMYFUNCTION("REGEXREPLACE(E182, ""[^A-Za-z0-9]"", """")"),"EducationalAttainmentbyPresenceofaComputerandTypesofInternetSubscriptioninHousehold")</f>
        <v>EducationalAttainmentbyPresenceofaComputerandTypesofInternetSubscriptioninHousehold</v>
      </c>
      <c r="G182" s="7"/>
      <c r="H182" s="7" t="s">
        <v>826</v>
      </c>
      <c r="I182" s="1" t="s">
        <v>827</v>
      </c>
      <c r="J182" s="7" t="s">
        <v>828</v>
      </c>
      <c r="K182" s="1"/>
      <c r="L182" s="1" t="s">
        <v>829</v>
      </c>
      <c r="M182" s="1"/>
      <c r="N182" s="1"/>
      <c r="O182" s="1" t="str">
        <f t="shared" si="1"/>
        <v> = 'B28006_005',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2" t="s">
        <v>10</v>
      </c>
      <c r="B183" s="1"/>
      <c r="C183" s="7" t="s">
        <v>613</v>
      </c>
      <c r="D183" s="9" t="s">
        <v>519</v>
      </c>
      <c r="E183" s="7" t="s">
        <v>811</v>
      </c>
      <c r="F183" s="3" t="str">
        <f>IFERROR(__xludf.DUMMYFUNCTION("REGEXREPLACE(E183, ""[^A-Za-z0-9]"", """")"),"EducationalAttainmentbyPresenceofaComputerandTypesofInternetSubscriptioninHousehold")</f>
        <v>EducationalAttainmentbyPresenceofaComputerandTypesofInternetSubscriptioninHousehold</v>
      </c>
      <c r="G183" s="7"/>
      <c r="H183" s="7" t="s">
        <v>830</v>
      </c>
      <c r="I183" s="1" t="s">
        <v>831</v>
      </c>
      <c r="J183" s="7" t="s">
        <v>832</v>
      </c>
      <c r="K183" s="1"/>
      <c r="L183" s="1" t="s">
        <v>833</v>
      </c>
      <c r="M183" s="1"/>
      <c r="N183" s="1"/>
      <c r="O183" s="1" t="str">
        <f t="shared" si="1"/>
        <v> = 'B28006_006',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2" t="s">
        <v>10</v>
      </c>
      <c r="B184" s="1"/>
      <c r="C184" s="7" t="s">
        <v>613</v>
      </c>
      <c r="D184" s="9" t="s">
        <v>519</v>
      </c>
      <c r="E184" s="7" t="s">
        <v>811</v>
      </c>
      <c r="F184" s="3" t="str">
        <f>IFERROR(__xludf.DUMMYFUNCTION("REGEXREPLACE(E184, ""[^A-Za-z0-9]"", """")"),"EducationalAttainmentbyPresenceofaComputerandTypesofInternetSubscriptioninHousehold")</f>
        <v>EducationalAttainmentbyPresenceofaComputerandTypesofInternetSubscriptioninHousehold</v>
      </c>
      <c r="G184" s="7"/>
      <c r="H184" s="7" t="s">
        <v>834</v>
      </c>
      <c r="I184" s="1" t="s">
        <v>835</v>
      </c>
      <c r="J184" s="7" t="s">
        <v>836</v>
      </c>
      <c r="K184" s="1"/>
      <c r="L184" s="1" t="s">
        <v>837</v>
      </c>
      <c r="M184" s="1"/>
      <c r="N184" s="1"/>
      <c r="O184" s="1" t="str">
        <f t="shared" si="1"/>
        <v> = 'B28006_007',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2" t="s">
        <v>10</v>
      </c>
      <c r="B185" s="1"/>
      <c r="C185" s="7" t="s">
        <v>613</v>
      </c>
      <c r="D185" s="9" t="s">
        <v>519</v>
      </c>
      <c r="E185" s="7" t="s">
        <v>811</v>
      </c>
      <c r="F185" s="3" t="str">
        <f>IFERROR(__xludf.DUMMYFUNCTION("REGEXREPLACE(E185, ""[^A-Za-z0-9]"", """")"),"EducationalAttainmentbyPresenceofaComputerandTypesofInternetSubscriptioninHousehold")</f>
        <v>EducationalAttainmentbyPresenceofaComputerandTypesofInternetSubscriptioninHousehold</v>
      </c>
      <c r="G185" s="7"/>
      <c r="H185" s="7" t="s">
        <v>838</v>
      </c>
      <c r="I185" s="1" t="s">
        <v>839</v>
      </c>
      <c r="J185" s="7" t="s">
        <v>840</v>
      </c>
      <c r="K185" s="1"/>
      <c r="L185" s="1" t="s">
        <v>841</v>
      </c>
      <c r="M185" s="1"/>
      <c r="N185" s="1"/>
      <c r="O185" s="1" t="str">
        <f t="shared" si="1"/>
        <v> = 'B28006_008',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2" t="s">
        <v>10</v>
      </c>
      <c r="B186" s="1"/>
      <c r="C186" s="7" t="s">
        <v>613</v>
      </c>
      <c r="D186" s="9" t="s">
        <v>519</v>
      </c>
      <c r="E186" s="7" t="s">
        <v>811</v>
      </c>
      <c r="F186" s="3" t="str">
        <f>IFERROR(__xludf.DUMMYFUNCTION("REGEXREPLACE(E186, ""[^A-Za-z0-9]"", """")"),"EducationalAttainmentbyPresenceofaComputerandTypesofInternetSubscriptioninHousehold")</f>
        <v>EducationalAttainmentbyPresenceofaComputerandTypesofInternetSubscriptioninHousehold</v>
      </c>
      <c r="G186" s="7"/>
      <c r="H186" s="7" t="s">
        <v>842</v>
      </c>
      <c r="I186" s="1" t="s">
        <v>843</v>
      </c>
      <c r="J186" s="7" t="s">
        <v>844</v>
      </c>
      <c r="K186" s="1"/>
      <c r="L186" s="1" t="s">
        <v>845</v>
      </c>
      <c r="M186" s="1"/>
      <c r="N186" s="1"/>
      <c r="O186" s="1" t="str">
        <f t="shared" si="1"/>
        <v> = 'B28006_009',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2" t="s">
        <v>10</v>
      </c>
      <c r="B187" s="1"/>
      <c r="C187" s="7" t="s">
        <v>613</v>
      </c>
      <c r="D187" s="9" t="s">
        <v>519</v>
      </c>
      <c r="E187" s="7" t="s">
        <v>811</v>
      </c>
      <c r="F187" s="3" t="str">
        <f>IFERROR(__xludf.DUMMYFUNCTION("REGEXREPLACE(E187, ""[^A-Za-z0-9]"", """")"),"EducationalAttainmentbyPresenceofaComputerandTypesofInternetSubscriptioninHousehold")</f>
        <v>EducationalAttainmentbyPresenceofaComputerandTypesofInternetSubscriptioninHousehold</v>
      </c>
      <c r="G187" s="7"/>
      <c r="H187" s="7" t="s">
        <v>846</v>
      </c>
      <c r="I187" s="1" t="s">
        <v>847</v>
      </c>
      <c r="J187" s="7" t="s">
        <v>848</v>
      </c>
      <c r="K187" s="1"/>
      <c r="L187" s="1" t="s">
        <v>849</v>
      </c>
      <c r="M187" s="1"/>
      <c r="N187" s="1"/>
      <c r="O187" s="1" t="str">
        <f t="shared" si="1"/>
        <v> = 'B28006_010',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2" t="s">
        <v>10</v>
      </c>
      <c r="B188" s="1"/>
      <c r="C188" s="7" t="s">
        <v>613</v>
      </c>
      <c r="D188" s="9" t="s">
        <v>519</v>
      </c>
      <c r="E188" s="7" t="s">
        <v>811</v>
      </c>
      <c r="F188" s="3" t="str">
        <f>IFERROR(__xludf.DUMMYFUNCTION("REGEXREPLACE(E188, ""[^A-Za-z0-9]"", """")"),"EducationalAttainmentbyPresenceofaComputerandTypesofInternetSubscriptioninHousehold")</f>
        <v>EducationalAttainmentbyPresenceofaComputerandTypesofInternetSubscriptioninHousehold</v>
      </c>
      <c r="G188" s="7"/>
      <c r="H188" s="7" t="s">
        <v>850</v>
      </c>
      <c r="I188" s="1" t="s">
        <v>851</v>
      </c>
      <c r="J188" s="7" t="s">
        <v>852</v>
      </c>
      <c r="K188" s="1"/>
      <c r="L188" s="1" t="s">
        <v>853</v>
      </c>
      <c r="M188" s="1"/>
      <c r="N188" s="1"/>
      <c r="O188" s="1" t="str">
        <f t="shared" si="1"/>
        <v> = 'B28006_011',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2" t="s">
        <v>10</v>
      </c>
      <c r="B189" s="1"/>
      <c r="C189" s="7" t="s">
        <v>613</v>
      </c>
      <c r="D189" s="9" t="s">
        <v>519</v>
      </c>
      <c r="E189" s="7" t="s">
        <v>811</v>
      </c>
      <c r="F189" s="3" t="str">
        <f>IFERROR(__xludf.DUMMYFUNCTION("REGEXREPLACE(E189, ""[^A-Za-z0-9]"", """")"),"EducationalAttainmentbyPresenceofaComputerandTypesofInternetSubscriptioninHousehold")</f>
        <v>EducationalAttainmentbyPresenceofaComputerandTypesofInternetSubscriptioninHousehold</v>
      </c>
      <c r="G189" s="7"/>
      <c r="H189" s="7" t="s">
        <v>854</v>
      </c>
      <c r="I189" s="1" t="s">
        <v>855</v>
      </c>
      <c r="J189" s="7" t="s">
        <v>856</v>
      </c>
      <c r="K189" s="1"/>
      <c r="L189" s="1" t="s">
        <v>857</v>
      </c>
      <c r="M189" s="1"/>
      <c r="N189" s="1"/>
      <c r="O189" s="1" t="str">
        <f t="shared" si="1"/>
        <v> = 'B28006_012',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2" t="s">
        <v>10</v>
      </c>
      <c r="B190" s="1"/>
      <c r="C190" s="7" t="s">
        <v>613</v>
      </c>
      <c r="D190" s="9" t="s">
        <v>519</v>
      </c>
      <c r="E190" s="7" t="s">
        <v>811</v>
      </c>
      <c r="F190" s="3" t="str">
        <f>IFERROR(__xludf.DUMMYFUNCTION("REGEXREPLACE(E190, ""[^A-Za-z0-9]"", """")"),"EducationalAttainmentbyPresenceofaComputerandTypesofInternetSubscriptioninHousehold")</f>
        <v>EducationalAttainmentbyPresenceofaComputerandTypesofInternetSubscriptioninHousehold</v>
      </c>
      <c r="G190" s="7"/>
      <c r="H190" s="7" t="s">
        <v>858</v>
      </c>
      <c r="I190" s="1" t="s">
        <v>859</v>
      </c>
      <c r="J190" s="7" t="s">
        <v>860</v>
      </c>
      <c r="K190" s="1"/>
      <c r="L190" s="1" t="s">
        <v>861</v>
      </c>
      <c r="M190" s="1"/>
      <c r="N190" s="1"/>
      <c r="O190" s="1" t="str">
        <f t="shared" si="1"/>
        <v> = 'B28006_013',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2" t="s">
        <v>10</v>
      </c>
      <c r="B191" s="1"/>
      <c r="C191" s="7" t="s">
        <v>613</v>
      </c>
      <c r="D191" s="9" t="s">
        <v>519</v>
      </c>
      <c r="E191" s="7" t="s">
        <v>811</v>
      </c>
      <c r="F191" s="3" t="str">
        <f>IFERROR(__xludf.DUMMYFUNCTION("REGEXREPLACE(E191, ""[^A-Za-z0-9]"", """")"),"EducationalAttainmentbyPresenceofaComputerandTypesofInternetSubscriptioninHousehold")</f>
        <v>EducationalAttainmentbyPresenceofaComputerandTypesofInternetSubscriptioninHousehold</v>
      </c>
      <c r="G191" s="7"/>
      <c r="H191" s="7" t="s">
        <v>862</v>
      </c>
      <c r="I191" s="1" t="s">
        <v>863</v>
      </c>
      <c r="J191" s="7" t="s">
        <v>864</v>
      </c>
      <c r="K191" s="1"/>
      <c r="L191" s="1" t="s">
        <v>865</v>
      </c>
      <c r="M191" s="1"/>
      <c r="N191" s="1"/>
      <c r="O191" s="1" t="str">
        <f t="shared" si="1"/>
        <v> = 'B28006_014',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2" t="s">
        <v>10</v>
      </c>
      <c r="B192" s="1"/>
      <c r="C192" s="7" t="s">
        <v>613</v>
      </c>
      <c r="D192" s="9" t="s">
        <v>519</v>
      </c>
      <c r="E192" s="7" t="s">
        <v>811</v>
      </c>
      <c r="F192" s="3" t="str">
        <f>IFERROR(__xludf.DUMMYFUNCTION("REGEXREPLACE(E192, ""[^A-Za-z0-9]"", """")"),"EducationalAttainmentbyPresenceofaComputerandTypesofInternetSubscriptioninHousehold")</f>
        <v>EducationalAttainmentbyPresenceofaComputerandTypesofInternetSubscriptioninHousehold</v>
      </c>
      <c r="G192" s="7"/>
      <c r="H192" s="7" t="s">
        <v>866</v>
      </c>
      <c r="I192" s="1" t="s">
        <v>867</v>
      </c>
      <c r="J192" s="7" t="s">
        <v>868</v>
      </c>
      <c r="K192" s="1"/>
      <c r="L192" s="1" t="s">
        <v>869</v>
      </c>
      <c r="M192" s="1"/>
      <c r="N192" s="1"/>
      <c r="O192" s="1" t="str">
        <f t="shared" si="1"/>
        <v> = 'B28006_015',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2" t="s">
        <v>10</v>
      </c>
      <c r="B193" s="1"/>
      <c r="C193" s="7" t="s">
        <v>613</v>
      </c>
      <c r="D193" s="9" t="s">
        <v>519</v>
      </c>
      <c r="E193" s="7" t="s">
        <v>811</v>
      </c>
      <c r="F193" s="3" t="str">
        <f>IFERROR(__xludf.DUMMYFUNCTION("REGEXREPLACE(E193, ""[^A-Za-z0-9]"", """")"),"EducationalAttainmentbyPresenceofaComputerandTypesofInternetSubscriptioninHousehold")</f>
        <v>EducationalAttainmentbyPresenceofaComputerandTypesofInternetSubscriptioninHousehold</v>
      </c>
      <c r="G193" s="7"/>
      <c r="H193" s="7" t="s">
        <v>870</v>
      </c>
      <c r="I193" s="1" t="s">
        <v>871</v>
      </c>
      <c r="J193" s="7" t="s">
        <v>872</v>
      </c>
      <c r="K193" s="1"/>
      <c r="L193" s="1" t="s">
        <v>873</v>
      </c>
      <c r="M193" s="1"/>
      <c r="N193" s="1"/>
      <c r="O193" s="1" t="str">
        <f t="shared" si="1"/>
        <v> = 'B28006_016',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2" t="s">
        <v>10</v>
      </c>
      <c r="B194" s="1"/>
      <c r="C194" s="7" t="s">
        <v>613</v>
      </c>
      <c r="D194" s="9" t="s">
        <v>519</v>
      </c>
      <c r="E194" s="7" t="s">
        <v>811</v>
      </c>
      <c r="F194" s="3" t="str">
        <f>IFERROR(__xludf.DUMMYFUNCTION("REGEXREPLACE(E194, ""[^A-Za-z0-9]"", """")"),"EducationalAttainmentbyPresenceofaComputerandTypesofInternetSubscriptioninHousehold")</f>
        <v>EducationalAttainmentbyPresenceofaComputerandTypesofInternetSubscriptioninHousehold</v>
      </c>
      <c r="G194" s="7"/>
      <c r="H194" s="7" t="s">
        <v>874</v>
      </c>
      <c r="I194" s="1" t="s">
        <v>875</v>
      </c>
      <c r="J194" s="7" t="s">
        <v>876</v>
      </c>
      <c r="K194" s="1"/>
      <c r="L194" s="1" t="s">
        <v>877</v>
      </c>
      <c r="M194" s="1"/>
      <c r="N194" s="1"/>
      <c r="O194" s="1" t="str">
        <f t="shared" si="1"/>
        <v> = 'B28006_017',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2" t="s">
        <v>10</v>
      </c>
      <c r="B195" s="1"/>
      <c r="C195" s="7" t="s">
        <v>613</v>
      </c>
      <c r="D195" s="9" t="s">
        <v>519</v>
      </c>
      <c r="E195" s="7" t="s">
        <v>811</v>
      </c>
      <c r="F195" s="3" t="str">
        <f>IFERROR(__xludf.DUMMYFUNCTION("REGEXREPLACE(E195, ""[^A-Za-z0-9]"", """")"),"EducationalAttainmentbyPresenceofaComputerandTypesofInternetSubscriptioninHousehold")</f>
        <v>EducationalAttainmentbyPresenceofaComputerandTypesofInternetSubscriptioninHousehold</v>
      </c>
      <c r="G195" s="7"/>
      <c r="H195" s="7" t="s">
        <v>878</v>
      </c>
      <c r="I195" s="1" t="s">
        <v>879</v>
      </c>
      <c r="J195" s="7" t="s">
        <v>880</v>
      </c>
      <c r="K195" s="1"/>
      <c r="L195" s="1" t="s">
        <v>881</v>
      </c>
      <c r="M195" s="1"/>
      <c r="N195" s="1"/>
      <c r="O195" s="1" t="str">
        <f t="shared" si="1"/>
        <v> = 'B28006_018',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2" t="s">
        <v>10</v>
      </c>
      <c r="B196" s="1"/>
      <c r="C196" s="7" t="s">
        <v>613</v>
      </c>
      <c r="D196" s="9" t="s">
        <v>519</v>
      </c>
      <c r="E196" s="7" t="s">
        <v>811</v>
      </c>
      <c r="F196" s="3" t="str">
        <f>IFERROR(__xludf.DUMMYFUNCTION("REGEXREPLACE(E196, ""[^A-Za-z0-9]"", """")"),"EducationalAttainmentbyPresenceofaComputerandTypesofInternetSubscriptioninHousehold")</f>
        <v>EducationalAttainmentbyPresenceofaComputerandTypesofInternetSubscriptioninHousehold</v>
      </c>
      <c r="G196" s="7"/>
      <c r="H196" s="7" t="s">
        <v>882</v>
      </c>
      <c r="I196" s="1" t="s">
        <v>883</v>
      </c>
      <c r="J196" s="7" t="s">
        <v>884</v>
      </c>
      <c r="K196" s="1"/>
      <c r="L196" s="1" t="s">
        <v>885</v>
      </c>
      <c r="M196" s="1"/>
      <c r="N196" s="1"/>
      <c r="O196" s="1" t="str">
        <f t="shared" si="1"/>
        <v> = 'B28006_019',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2" t="s">
        <v>10</v>
      </c>
      <c r="B197" s="1"/>
      <c r="C197" s="7" t="s">
        <v>613</v>
      </c>
      <c r="D197" s="9" t="s">
        <v>519</v>
      </c>
      <c r="E197" s="7" t="s">
        <v>886</v>
      </c>
      <c r="F197" s="3" t="str">
        <f>IFERROR(__xludf.DUMMYFUNCTION("REGEXREPLACE(E197, ""[^A-Za-z0-9]"", """")"),"LaborForceStatusbyPresenceofaComputerandTypesofInternetSubscriptioninHousehold")</f>
        <v>LaborForceStatusbyPresenceofaComputerandTypesofInternetSubscriptioninHousehold</v>
      </c>
      <c r="G197" s="7"/>
      <c r="H197" s="7" t="s">
        <v>16</v>
      </c>
      <c r="I197" s="1" t="s">
        <v>887</v>
      </c>
      <c r="J197" s="7" t="s">
        <v>888</v>
      </c>
      <c r="K197" s="1"/>
      <c r="L197" s="1" t="s">
        <v>20</v>
      </c>
      <c r="M197" s="1"/>
      <c r="N197" s="1"/>
      <c r="O197" s="1" t="str">
        <f t="shared" si="1"/>
        <v> = 'B28007_001',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2" t="s">
        <v>10</v>
      </c>
      <c r="B198" s="1"/>
      <c r="C198" s="7" t="s">
        <v>613</v>
      </c>
      <c r="D198" s="9" t="s">
        <v>519</v>
      </c>
      <c r="E198" s="7" t="s">
        <v>886</v>
      </c>
      <c r="F198" s="3" t="str">
        <f>IFERROR(__xludf.DUMMYFUNCTION("REGEXREPLACE(E198, ""[^A-Za-z0-9]"", """")"),"LaborForceStatusbyPresenceofaComputerandTypesofInternetSubscriptioninHousehold")</f>
        <v>LaborForceStatusbyPresenceofaComputerandTypesofInternetSubscriptioninHousehold</v>
      </c>
      <c r="G198" s="7"/>
      <c r="H198" s="7" t="s">
        <v>889</v>
      </c>
      <c r="I198" s="1" t="s">
        <v>890</v>
      </c>
      <c r="J198" s="7" t="s">
        <v>891</v>
      </c>
      <c r="K198" s="1"/>
      <c r="L198" s="1" t="s">
        <v>892</v>
      </c>
      <c r="M198" s="1"/>
      <c r="N198" s="1"/>
      <c r="O198" s="1" t="str">
        <f t="shared" si="1"/>
        <v> = 'B28007_002',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2" t="s">
        <v>10</v>
      </c>
      <c r="B199" s="1"/>
      <c r="C199" s="7" t="s">
        <v>613</v>
      </c>
      <c r="D199" s="9" t="s">
        <v>519</v>
      </c>
      <c r="E199" s="7" t="s">
        <v>886</v>
      </c>
      <c r="F199" s="3" t="str">
        <f>IFERROR(__xludf.DUMMYFUNCTION("REGEXREPLACE(E199, ""[^A-Za-z0-9]"", """")"),"LaborForceStatusbyPresenceofaComputerandTypesofInternetSubscriptioninHousehold")</f>
        <v>LaborForceStatusbyPresenceofaComputerandTypesofInternetSubscriptioninHousehold</v>
      </c>
      <c r="G199" s="7"/>
      <c r="H199" s="7" t="s">
        <v>893</v>
      </c>
      <c r="I199" s="1" t="s">
        <v>894</v>
      </c>
      <c r="J199" s="7" t="s">
        <v>895</v>
      </c>
      <c r="K199" s="1"/>
      <c r="L199" s="1" t="s">
        <v>896</v>
      </c>
      <c r="M199" s="1"/>
      <c r="N199" s="1"/>
      <c r="O199" s="1" t="str">
        <f t="shared" si="1"/>
        <v> = 'B28007_003',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2" t="s">
        <v>10</v>
      </c>
      <c r="B200" s="1"/>
      <c r="C200" s="7" t="s">
        <v>613</v>
      </c>
      <c r="D200" s="9" t="s">
        <v>519</v>
      </c>
      <c r="E200" s="7" t="s">
        <v>886</v>
      </c>
      <c r="F200" s="3" t="str">
        <f>IFERROR(__xludf.DUMMYFUNCTION("REGEXREPLACE(E200, ""[^A-Za-z0-9]"", """")"),"LaborForceStatusbyPresenceofaComputerandTypesofInternetSubscriptioninHousehold")</f>
        <v>LaborForceStatusbyPresenceofaComputerandTypesofInternetSubscriptioninHousehold</v>
      </c>
      <c r="G200" s="7"/>
      <c r="H200" s="7" t="s">
        <v>897</v>
      </c>
      <c r="I200" s="1" t="s">
        <v>898</v>
      </c>
      <c r="J200" s="7" t="s">
        <v>899</v>
      </c>
      <c r="K200" s="1"/>
      <c r="L200" s="1" t="s">
        <v>900</v>
      </c>
      <c r="M200" s="1"/>
      <c r="N200" s="1"/>
      <c r="O200" s="1" t="str">
        <f t="shared" si="1"/>
        <v> = 'B28007_004',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2" t="s">
        <v>10</v>
      </c>
      <c r="B201" s="1"/>
      <c r="C201" s="7" t="s">
        <v>613</v>
      </c>
      <c r="D201" s="9" t="s">
        <v>519</v>
      </c>
      <c r="E201" s="7" t="s">
        <v>886</v>
      </c>
      <c r="F201" s="3" t="str">
        <f>IFERROR(__xludf.DUMMYFUNCTION("REGEXREPLACE(E201, ""[^A-Za-z0-9]"", """")"),"LaborForceStatusbyPresenceofaComputerandTypesofInternetSubscriptioninHousehold")</f>
        <v>LaborForceStatusbyPresenceofaComputerandTypesofInternetSubscriptioninHousehold</v>
      </c>
      <c r="G201" s="7"/>
      <c r="H201" s="7" t="s">
        <v>901</v>
      </c>
      <c r="I201" s="1" t="s">
        <v>902</v>
      </c>
      <c r="J201" s="7" t="s">
        <v>903</v>
      </c>
      <c r="K201" s="1"/>
      <c r="L201" s="1" t="s">
        <v>904</v>
      </c>
      <c r="M201" s="1"/>
      <c r="N201" s="1"/>
      <c r="O201" s="1" t="str">
        <f t="shared" si="1"/>
        <v> = 'B28007_005',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2" t="s">
        <v>10</v>
      </c>
      <c r="B202" s="1"/>
      <c r="C202" s="7" t="s">
        <v>613</v>
      </c>
      <c r="D202" s="9" t="s">
        <v>519</v>
      </c>
      <c r="E202" s="7" t="s">
        <v>886</v>
      </c>
      <c r="F202" s="3" t="str">
        <f>IFERROR(__xludf.DUMMYFUNCTION("REGEXREPLACE(E202, ""[^A-Za-z0-9]"", """")"),"LaborForceStatusbyPresenceofaComputerandTypesofInternetSubscriptioninHousehold")</f>
        <v>LaborForceStatusbyPresenceofaComputerandTypesofInternetSubscriptioninHousehold</v>
      </c>
      <c r="G202" s="7"/>
      <c r="H202" s="7" t="s">
        <v>905</v>
      </c>
      <c r="I202" s="1" t="s">
        <v>906</v>
      </c>
      <c r="J202" s="7" t="s">
        <v>907</v>
      </c>
      <c r="K202" s="1"/>
      <c r="L202" s="1" t="s">
        <v>908</v>
      </c>
      <c r="M202" s="1"/>
      <c r="N202" s="1"/>
      <c r="O202" s="1" t="str">
        <f t="shared" si="1"/>
        <v> = 'B28007_006',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2" t="s">
        <v>10</v>
      </c>
      <c r="B203" s="1"/>
      <c r="C203" s="7" t="s">
        <v>613</v>
      </c>
      <c r="D203" s="9" t="s">
        <v>519</v>
      </c>
      <c r="E203" s="7" t="s">
        <v>886</v>
      </c>
      <c r="F203" s="3" t="str">
        <f>IFERROR(__xludf.DUMMYFUNCTION("REGEXREPLACE(E203, ""[^A-Za-z0-9]"", """")"),"LaborForceStatusbyPresenceofaComputerandTypesofInternetSubscriptioninHousehold")</f>
        <v>LaborForceStatusbyPresenceofaComputerandTypesofInternetSubscriptioninHousehold</v>
      </c>
      <c r="G203" s="7"/>
      <c r="H203" s="7" t="s">
        <v>909</v>
      </c>
      <c r="I203" s="1" t="s">
        <v>910</v>
      </c>
      <c r="J203" s="7" t="s">
        <v>911</v>
      </c>
      <c r="K203" s="1"/>
      <c r="L203" s="1" t="s">
        <v>912</v>
      </c>
      <c r="M203" s="1"/>
      <c r="N203" s="1"/>
      <c r="O203" s="1" t="str">
        <f t="shared" si="1"/>
        <v> = 'B28007_007',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2" t="s">
        <v>10</v>
      </c>
      <c r="B204" s="1"/>
      <c r="C204" s="7" t="s">
        <v>613</v>
      </c>
      <c r="D204" s="9" t="s">
        <v>519</v>
      </c>
      <c r="E204" s="7" t="s">
        <v>886</v>
      </c>
      <c r="F204" s="3" t="str">
        <f>IFERROR(__xludf.DUMMYFUNCTION("REGEXREPLACE(E204, ""[^A-Za-z0-9]"", """")"),"LaborForceStatusbyPresenceofaComputerandTypesofInternetSubscriptioninHousehold")</f>
        <v>LaborForceStatusbyPresenceofaComputerandTypesofInternetSubscriptioninHousehold</v>
      </c>
      <c r="G204" s="7"/>
      <c r="H204" s="7" t="s">
        <v>913</v>
      </c>
      <c r="I204" s="1" t="s">
        <v>914</v>
      </c>
      <c r="J204" s="7" t="s">
        <v>915</v>
      </c>
      <c r="K204" s="1"/>
      <c r="L204" s="1" t="s">
        <v>916</v>
      </c>
      <c r="M204" s="1"/>
      <c r="N204" s="1"/>
      <c r="O204" s="1" t="str">
        <f t="shared" si="1"/>
        <v> = 'B28007_008',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2" t="s">
        <v>10</v>
      </c>
      <c r="B205" s="1"/>
      <c r="C205" s="7" t="s">
        <v>613</v>
      </c>
      <c r="D205" s="9" t="s">
        <v>519</v>
      </c>
      <c r="E205" s="7" t="s">
        <v>886</v>
      </c>
      <c r="F205" s="3" t="str">
        <f>IFERROR(__xludf.DUMMYFUNCTION("REGEXREPLACE(E205, ""[^A-Za-z0-9]"", """")"),"LaborForceStatusbyPresenceofaComputerandTypesofInternetSubscriptioninHousehold")</f>
        <v>LaborForceStatusbyPresenceofaComputerandTypesofInternetSubscriptioninHousehold</v>
      </c>
      <c r="G205" s="7"/>
      <c r="H205" s="7" t="s">
        <v>917</v>
      </c>
      <c r="I205" s="1" t="s">
        <v>918</v>
      </c>
      <c r="J205" s="7" t="s">
        <v>919</v>
      </c>
      <c r="K205" s="1"/>
      <c r="L205" s="1" t="s">
        <v>920</v>
      </c>
      <c r="M205" s="1"/>
      <c r="N205" s="1"/>
      <c r="O205" s="1" t="str">
        <f t="shared" si="1"/>
        <v> = 'B28007_009',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2" t="s">
        <v>10</v>
      </c>
      <c r="B206" s="1"/>
      <c r="C206" s="7" t="s">
        <v>613</v>
      </c>
      <c r="D206" s="9" t="s">
        <v>519</v>
      </c>
      <c r="E206" s="7" t="s">
        <v>886</v>
      </c>
      <c r="F206" s="3" t="str">
        <f>IFERROR(__xludf.DUMMYFUNCTION("REGEXREPLACE(E206, ""[^A-Za-z0-9]"", """")"),"LaborForceStatusbyPresenceofaComputerandTypesofInternetSubscriptioninHousehold")</f>
        <v>LaborForceStatusbyPresenceofaComputerandTypesofInternetSubscriptioninHousehold</v>
      </c>
      <c r="G206" s="7"/>
      <c r="H206" s="7" t="s">
        <v>921</v>
      </c>
      <c r="I206" s="1" t="s">
        <v>922</v>
      </c>
      <c r="J206" s="7" t="s">
        <v>923</v>
      </c>
      <c r="K206" s="1"/>
      <c r="L206" s="1" t="s">
        <v>924</v>
      </c>
      <c r="M206" s="1"/>
      <c r="N206" s="1"/>
      <c r="O206" s="1" t="str">
        <f t="shared" si="1"/>
        <v> = 'B28007_010',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2" t="s">
        <v>10</v>
      </c>
      <c r="B207" s="1"/>
      <c r="C207" s="7" t="s">
        <v>613</v>
      </c>
      <c r="D207" s="9" t="s">
        <v>519</v>
      </c>
      <c r="E207" s="7" t="s">
        <v>886</v>
      </c>
      <c r="F207" s="3" t="str">
        <f>IFERROR(__xludf.DUMMYFUNCTION("REGEXREPLACE(E207, ""[^A-Za-z0-9]"", """")"),"LaborForceStatusbyPresenceofaComputerandTypesofInternetSubscriptioninHousehold")</f>
        <v>LaborForceStatusbyPresenceofaComputerandTypesofInternetSubscriptioninHousehold</v>
      </c>
      <c r="G207" s="7"/>
      <c r="H207" s="7" t="s">
        <v>925</v>
      </c>
      <c r="I207" s="1" t="s">
        <v>926</v>
      </c>
      <c r="J207" s="7" t="s">
        <v>927</v>
      </c>
      <c r="K207" s="1"/>
      <c r="L207" s="1" t="s">
        <v>928</v>
      </c>
      <c r="M207" s="1"/>
      <c r="N207" s="1"/>
      <c r="O207" s="1" t="str">
        <f t="shared" si="1"/>
        <v> = 'B28007_011',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2" t="s">
        <v>10</v>
      </c>
      <c r="B208" s="1"/>
      <c r="C208" s="7" t="s">
        <v>613</v>
      </c>
      <c r="D208" s="9" t="s">
        <v>519</v>
      </c>
      <c r="E208" s="7" t="s">
        <v>886</v>
      </c>
      <c r="F208" s="3" t="str">
        <f>IFERROR(__xludf.DUMMYFUNCTION("REGEXREPLACE(E208, ""[^A-Za-z0-9]"", """")"),"LaborForceStatusbyPresenceofaComputerandTypesofInternetSubscriptioninHousehold")</f>
        <v>LaborForceStatusbyPresenceofaComputerandTypesofInternetSubscriptioninHousehold</v>
      </c>
      <c r="G208" s="7"/>
      <c r="H208" s="7" t="s">
        <v>929</v>
      </c>
      <c r="I208" s="1" t="s">
        <v>930</v>
      </c>
      <c r="J208" s="7" t="s">
        <v>931</v>
      </c>
      <c r="K208" s="1"/>
      <c r="L208" s="1" t="s">
        <v>932</v>
      </c>
      <c r="M208" s="1"/>
      <c r="N208" s="1"/>
      <c r="O208" s="1" t="str">
        <f t="shared" si="1"/>
        <v> = 'B28007_012',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2" t="s">
        <v>10</v>
      </c>
      <c r="B209" s="1"/>
      <c r="C209" s="7" t="s">
        <v>613</v>
      </c>
      <c r="D209" s="9" t="s">
        <v>519</v>
      </c>
      <c r="E209" s="7" t="s">
        <v>886</v>
      </c>
      <c r="F209" s="3" t="str">
        <f>IFERROR(__xludf.DUMMYFUNCTION("REGEXREPLACE(E209, ""[^A-Za-z0-9]"", """")"),"LaborForceStatusbyPresenceofaComputerandTypesofInternetSubscriptioninHousehold")</f>
        <v>LaborForceStatusbyPresenceofaComputerandTypesofInternetSubscriptioninHousehold</v>
      </c>
      <c r="G209" s="7"/>
      <c r="H209" s="7" t="s">
        <v>933</v>
      </c>
      <c r="I209" s="1" t="s">
        <v>934</v>
      </c>
      <c r="J209" s="7" t="s">
        <v>935</v>
      </c>
      <c r="K209" s="1"/>
      <c r="L209" s="1" t="s">
        <v>936</v>
      </c>
      <c r="M209" s="1"/>
      <c r="N209" s="1"/>
      <c r="O209" s="1" t="str">
        <f t="shared" si="1"/>
        <v> = 'B28007_013',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2" t="s">
        <v>10</v>
      </c>
      <c r="B210" s="1"/>
      <c r="C210" s="7" t="s">
        <v>613</v>
      </c>
      <c r="D210" s="9" t="s">
        <v>519</v>
      </c>
      <c r="E210" s="7" t="s">
        <v>886</v>
      </c>
      <c r="F210" s="3" t="str">
        <f>IFERROR(__xludf.DUMMYFUNCTION("REGEXREPLACE(E210, ""[^A-Za-z0-9]"", """")"),"LaborForceStatusbyPresenceofaComputerandTypesofInternetSubscriptioninHousehold")</f>
        <v>LaborForceStatusbyPresenceofaComputerandTypesofInternetSubscriptioninHousehold</v>
      </c>
      <c r="G210" s="7"/>
      <c r="H210" s="7" t="s">
        <v>937</v>
      </c>
      <c r="I210" s="1" t="s">
        <v>938</v>
      </c>
      <c r="J210" s="7" t="s">
        <v>939</v>
      </c>
      <c r="K210" s="1"/>
      <c r="L210" s="1" t="s">
        <v>940</v>
      </c>
      <c r="M210" s="1"/>
      <c r="N210" s="1"/>
      <c r="O210" s="1" t="str">
        <f t="shared" si="1"/>
        <v> = 'B28007_014',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2" t="s">
        <v>10</v>
      </c>
      <c r="B211" s="1"/>
      <c r="C211" s="7" t="s">
        <v>613</v>
      </c>
      <c r="D211" s="9" t="s">
        <v>519</v>
      </c>
      <c r="E211" s="7" t="s">
        <v>886</v>
      </c>
      <c r="F211" s="3" t="str">
        <f>IFERROR(__xludf.DUMMYFUNCTION("REGEXREPLACE(E211, ""[^A-Za-z0-9]"", """")"),"LaborForceStatusbyPresenceofaComputerandTypesofInternetSubscriptioninHousehold")</f>
        <v>LaborForceStatusbyPresenceofaComputerandTypesofInternetSubscriptioninHousehold</v>
      </c>
      <c r="G211" s="7"/>
      <c r="H211" s="7" t="s">
        <v>941</v>
      </c>
      <c r="I211" s="1" t="s">
        <v>942</v>
      </c>
      <c r="J211" s="7" t="s">
        <v>943</v>
      </c>
      <c r="K211" s="1"/>
      <c r="L211" s="1" t="s">
        <v>944</v>
      </c>
      <c r="M211" s="1"/>
      <c r="N211" s="1"/>
      <c r="O211" s="1" t="str">
        <f t="shared" si="1"/>
        <v> = 'B28007_015',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2" t="s">
        <v>10</v>
      </c>
      <c r="B212" s="1"/>
      <c r="C212" s="7" t="s">
        <v>613</v>
      </c>
      <c r="D212" s="9" t="s">
        <v>519</v>
      </c>
      <c r="E212" s="7" t="s">
        <v>886</v>
      </c>
      <c r="F212" s="3" t="str">
        <f>IFERROR(__xludf.DUMMYFUNCTION("REGEXREPLACE(E212, ""[^A-Za-z0-9]"", """")"),"LaborForceStatusbyPresenceofaComputerandTypesofInternetSubscriptioninHousehold")</f>
        <v>LaborForceStatusbyPresenceofaComputerandTypesofInternetSubscriptioninHousehold</v>
      </c>
      <c r="G212" s="7"/>
      <c r="H212" s="7" t="s">
        <v>945</v>
      </c>
      <c r="I212" s="1" t="s">
        <v>946</v>
      </c>
      <c r="J212" s="7" t="s">
        <v>947</v>
      </c>
      <c r="K212" s="1"/>
      <c r="L212" s="1" t="s">
        <v>948</v>
      </c>
      <c r="M212" s="1"/>
      <c r="N212" s="1"/>
      <c r="O212" s="1" t="str">
        <f t="shared" si="1"/>
        <v> = 'B28007_016',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2" t="s">
        <v>10</v>
      </c>
      <c r="B213" s="1"/>
      <c r="C213" s="7" t="s">
        <v>613</v>
      </c>
      <c r="D213" s="9" t="s">
        <v>519</v>
      </c>
      <c r="E213" s="7" t="s">
        <v>886</v>
      </c>
      <c r="F213" s="3" t="str">
        <f>IFERROR(__xludf.DUMMYFUNCTION("REGEXREPLACE(E213, ""[^A-Za-z0-9]"", """")"),"LaborForceStatusbyPresenceofaComputerandTypesofInternetSubscriptioninHousehold")</f>
        <v>LaborForceStatusbyPresenceofaComputerandTypesofInternetSubscriptioninHousehold</v>
      </c>
      <c r="G213" s="7"/>
      <c r="H213" s="7" t="s">
        <v>949</v>
      </c>
      <c r="I213" s="1" t="s">
        <v>950</v>
      </c>
      <c r="J213" s="7" t="s">
        <v>951</v>
      </c>
      <c r="K213" s="1"/>
      <c r="L213" s="1" t="s">
        <v>952</v>
      </c>
      <c r="M213" s="1"/>
      <c r="N213" s="1"/>
      <c r="O213" s="1" t="str">
        <f t="shared" si="1"/>
        <v> = 'B28007_017',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2" t="s">
        <v>10</v>
      </c>
      <c r="B214" s="1"/>
      <c r="C214" s="7" t="s">
        <v>613</v>
      </c>
      <c r="D214" s="9" t="s">
        <v>519</v>
      </c>
      <c r="E214" s="7" t="s">
        <v>886</v>
      </c>
      <c r="F214" s="3" t="str">
        <f>IFERROR(__xludf.DUMMYFUNCTION("REGEXREPLACE(E214, ""[^A-Za-z0-9]"", """")"),"LaborForceStatusbyPresenceofaComputerandTypesofInternetSubscriptioninHousehold")</f>
        <v>LaborForceStatusbyPresenceofaComputerandTypesofInternetSubscriptioninHousehold</v>
      </c>
      <c r="G214" s="7"/>
      <c r="H214" s="7" t="s">
        <v>953</v>
      </c>
      <c r="I214" s="1" t="s">
        <v>954</v>
      </c>
      <c r="J214" s="7" t="s">
        <v>955</v>
      </c>
      <c r="K214" s="1"/>
      <c r="L214" s="1" t="s">
        <v>956</v>
      </c>
      <c r="M214" s="1"/>
      <c r="N214" s="1"/>
      <c r="O214" s="1" t="str">
        <f t="shared" si="1"/>
        <v> = 'B28007_018',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2" t="s">
        <v>10</v>
      </c>
      <c r="B215" s="1"/>
      <c r="C215" s="7" t="s">
        <v>613</v>
      </c>
      <c r="D215" s="9" t="s">
        <v>519</v>
      </c>
      <c r="E215" s="7" t="s">
        <v>886</v>
      </c>
      <c r="F215" s="3" t="str">
        <f>IFERROR(__xludf.DUMMYFUNCTION("REGEXREPLACE(E215, ""[^A-Za-z0-9]"", """")"),"LaborForceStatusbyPresenceofaComputerandTypesofInternetSubscriptioninHousehold")</f>
        <v>LaborForceStatusbyPresenceofaComputerandTypesofInternetSubscriptioninHousehold</v>
      </c>
      <c r="G215" s="7"/>
      <c r="H215" s="7" t="s">
        <v>957</v>
      </c>
      <c r="I215" s="1" t="s">
        <v>958</v>
      </c>
      <c r="J215" s="7" t="s">
        <v>959</v>
      </c>
      <c r="K215" s="1"/>
      <c r="L215" s="1" t="s">
        <v>960</v>
      </c>
      <c r="M215" s="1"/>
      <c r="N215" s="1"/>
      <c r="O215" s="1" t="str">
        <f t="shared" si="1"/>
        <v> = 'B28007_019',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2" t="s">
        <v>10</v>
      </c>
      <c r="B216" s="1"/>
      <c r="C216" s="7" t="s">
        <v>613</v>
      </c>
      <c r="D216" s="9" t="s">
        <v>519</v>
      </c>
      <c r="E216" s="7" t="s">
        <v>886</v>
      </c>
      <c r="F216" s="3" t="str">
        <f>IFERROR(__xludf.DUMMYFUNCTION("REGEXREPLACE(E216, ""[^A-Za-z0-9]"", """")"),"LaborForceStatusbyPresenceofaComputerandTypesofInternetSubscriptioninHousehold")</f>
        <v>LaborForceStatusbyPresenceofaComputerandTypesofInternetSubscriptioninHousehold</v>
      </c>
      <c r="G216" s="7"/>
      <c r="H216" s="7" t="s">
        <v>961</v>
      </c>
      <c r="I216" s="1" t="s">
        <v>962</v>
      </c>
      <c r="J216" s="7" t="s">
        <v>963</v>
      </c>
      <c r="K216" s="1"/>
      <c r="L216" s="1" t="s">
        <v>964</v>
      </c>
      <c r="M216" s="1"/>
      <c r="N216" s="1"/>
      <c r="O216" s="1" t="str">
        <f t="shared" si="1"/>
        <v> = 'B28007_020',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2" t="s">
        <v>10</v>
      </c>
      <c r="B217" s="1"/>
      <c r="C217" s="7" t="s">
        <v>613</v>
      </c>
      <c r="D217" s="9" t="s">
        <v>519</v>
      </c>
      <c r="E217" s="7" t="s">
        <v>614</v>
      </c>
      <c r="F217" s="3" t="str">
        <f>IFERROR(__xludf.DUMMYFUNCTION("REGEXREPLACE(E217, ""[^A-Za-z0-9]"", """")"),"PresenceofaComputerandTypeofInternetSubscriptioninHousehold")</f>
        <v>PresenceofaComputerandTypeofInternetSubscriptioninHousehold</v>
      </c>
      <c r="G217" s="7"/>
      <c r="H217" s="7" t="s">
        <v>16</v>
      </c>
      <c r="I217" s="1" t="s">
        <v>965</v>
      </c>
      <c r="J217" s="7" t="s">
        <v>966</v>
      </c>
      <c r="K217" s="1"/>
      <c r="L217" s="1" t="s">
        <v>20</v>
      </c>
      <c r="M217" s="1"/>
      <c r="N217" s="1"/>
      <c r="O217" s="1" t="str">
        <f t="shared" si="1"/>
        <v> = 'B28008_001',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2" t="s">
        <v>10</v>
      </c>
      <c r="B218" s="1"/>
      <c r="C218" s="7" t="s">
        <v>613</v>
      </c>
      <c r="D218" s="9" t="s">
        <v>519</v>
      </c>
      <c r="E218" s="7" t="s">
        <v>614</v>
      </c>
      <c r="F218" s="3" t="str">
        <f>IFERROR(__xludf.DUMMYFUNCTION("REGEXREPLACE(E218, ""[^A-Za-z0-9]"", """")"),"PresenceofaComputerandTypeofInternetSubscriptioninHousehold")</f>
        <v>PresenceofaComputerandTypeofInternetSubscriptioninHousehold</v>
      </c>
      <c r="G218" s="7"/>
      <c r="H218" s="7" t="s">
        <v>617</v>
      </c>
      <c r="I218" s="1" t="s">
        <v>967</v>
      </c>
      <c r="J218" s="7" t="s">
        <v>968</v>
      </c>
      <c r="K218" s="1"/>
      <c r="L218" s="1" t="s">
        <v>620</v>
      </c>
      <c r="M218" s="1"/>
      <c r="N218" s="1"/>
      <c r="O218" s="1" t="str">
        <f t="shared" si="1"/>
        <v> = 'B28008_002',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2" t="s">
        <v>10</v>
      </c>
      <c r="B219" s="1"/>
      <c r="C219" s="7" t="s">
        <v>613</v>
      </c>
      <c r="D219" s="9" t="s">
        <v>519</v>
      </c>
      <c r="E219" s="7" t="s">
        <v>614</v>
      </c>
      <c r="F219" s="3" t="str">
        <f>IFERROR(__xludf.DUMMYFUNCTION("REGEXREPLACE(E219, ""[^A-Za-z0-9]"", """")"),"PresenceofaComputerandTypeofInternetSubscriptioninHousehold")</f>
        <v>PresenceofaComputerandTypeofInternetSubscriptioninHousehold</v>
      </c>
      <c r="G219" s="7"/>
      <c r="H219" s="7" t="s">
        <v>621</v>
      </c>
      <c r="I219" s="1" t="s">
        <v>969</v>
      </c>
      <c r="J219" s="7" t="s">
        <v>970</v>
      </c>
      <c r="K219" s="1"/>
      <c r="L219" s="1" t="s">
        <v>624</v>
      </c>
      <c r="M219" s="1"/>
      <c r="N219" s="1"/>
      <c r="O219" s="1" t="str">
        <f t="shared" si="1"/>
        <v> = 'B28008_003',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2" t="s">
        <v>10</v>
      </c>
      <c r="B220" s="1"/>
      <c r="C220" s="7" t="s">
        <v>613</v>
      </c>
      <c r="D220" s="9" t="s">
        <v>519</v>
      </c>
      <c r="E220" s="7" t="s">
        <v>614</v>
      </c>
      <c r="F220" s="3" t="str">
        <f>IFERROR(__xludf.DUMMYFUNCTION("REGEXREPLACE(E220, ""[^A-Za-z0-9]"", """")"),"PresenceofaComputerandTypeofInternetSubscriptioninHousehold")</f>
        <v>PresenceofaComputerandTypeofInternetSubscriptioninHousehold</v>
      </c>
      <c r="G220" s="7"/>
      <c r="H220" s="7" t="s">
        <v>971</v>
      </c>
      <c r="I220" s="1" t="s">
        <v>972</v>
      </c>
      <c r="J220" s="7" t="s">
        <v>973</v>
      </c>
      <c r="K220" s="1"/>
      <c r="L220" s="1" t="s">
        <v>974</v>
      </c>
      <c r="M220" s="1"/>
      <c r="N220" s="1"/>
      <c r="O220" s="1" t="str">
        <f t="shared" si="1"/>
        <v> = 'B28008_004',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2" t="s">
        <v>10</v>
      </c>
      <c r="B221" s="1"/>
      <c r="C221" s="7" t="s">
        <v>613</v>
      </c>
      <c r="D221" s="9" t="s">
        <v>519</v>
      </c>
      <c r="E221" s="7" t="s">
        <v>614</v>
      </c>
      <c r="F221" s="3" t="str">
        <f>IFERROR(__xludf.DUMMYFUNCTION("REGEXREPLACE(E221, ""[^A-Za-z0-9]"", """")"),"PresenceofaComputerandTypeofInternetSubscriptioninHousehold")</f>
        <v>PresenceofaComputerandTypeofInternetSubscriptioninHousehold</v>
      </c>
      <c r="G221" s="7"/>
      <c r="H221" s="7" t="s">
        <v>975</v>
      </c>
      <c r="I221" s="1" t="s">
        <v>976</v>
      </c>
      <c r="J221" s="7" t="s">
        <v>977</v>
      </c>
      <c r="K221" s="1"/>
      <c r="L221" s="1" t="s">
        <v>978</v>
      </c>
      <c r="M221" s="1"/>
      <c r="N221" s="1"/>
      <c r="O221" s="1" t="str">
        <f t="shared" si="1"/>
        <v> = 'B28008_005',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2" t="s">
        <v>10</v>
      </c>
      <c r="B222" s="1"/>
      <c r="C222" s="7" t="s">
        <v>613</v>
      </c>
      <c r="D222" s="9" t="s">
        <v>519</v>
      </c>
      <c r="E222" s="7" t="s">
        <v>614</v>
      </c>
      <c r="F222" s="3" t="str">
        <f>IFERROR(__xludf.DUMMYFUNCTION("REGEXREPLACE(E222, ""[^A-Za-z0-9]"", """")"),"PresenceofaComputerandTypeofInternetSubscriptioninHousehold")</f>
        <v>PresenceofaComputerandTypeofInternetSubscriptioninHousehold</v>
      </c>
      <c r="G222" s="7"/>
      <c r="H222" s="7" t="s">
        <v>979</v>
      </c>
      <c r="I222" s="1" t="s">
        <v>980</v>
      </c>
      <c r="J222" s="7" t="s">
        <v>981</v>
      </c>
      <c r="K222" s="1"/>
      <c r="L222" s="1" t="s">
        <v>982</v>
      </c>
      <c r="M222" s="1"/>
      <c r="N222" s="1"/>
      <c r="O222" s="1" t="str">
        <f t="shared" si="1"/>
        <v> = 'B28008_006',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2" t="s">
        <v>10</v>
      </c>
      <c r="B223" s="1"/>
      <c r="C223" s="7" t="s">
        <v>613</v>
      </c>
      <c r="D223" s="9" t="s">
        <v>519</v>
      </c>
      <c r="E223" s="7" t="s">
        <v>614</v>
      </c>
      <c r="F223" s="3" t="str">
        <f>IFERROR(__xludf.DUMMYFUNCTION("REGEXREPLACE(E223, ""[^A-Za-z0-9]"", """")"),"PresenceofaComputerandTypeofInternetSubscriptioninHousehold")</f>
        <v>PresenceofaComputerandTypeofInternetSubscriptioninHousehold</v>
      </c>
      <c r="G223" s="7"/>
      <c r="H223" s="7" t="s">
        <v>983</v>
      </c>
      <c r="I223" s="1" t="s">
        <v>984</v>
      </c>
      <c r="J223" s="7" t="s">
        <v>985</v>
      </c>
      <c r="K223" s="1"/>
      <c r="L223" s="1" t="s">
        <v>986</v>
      </c>
      <c r="M223" s="1"/>
      <c r="N223" s="1"/>
      <c r="O223" s="1" t="str">
        <f t="shared" si="1"/>
        <v> = 'B28008_007',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2" t="s">
        <v>10</v>
      </c>
      <c r="B224" s="1"/>
      <c r="C224" s="7" t="s">
        <v>613</v>
      </c>
      <c r="D224" s="9" t="s">
        <v>519</v>
      </c>
      <c r="E224" s="7" t="s">
        <v>614</v>
      </c>
      <c r="F224" s="3" t="str">
        <f>IFERROR(__xludf.DUMMYFUNCTION("REGEXREPLACE(E224, ""[^A-Za-z0-9]"", """")"),"PresenceofaComputerandTypeofInternetSubscriptioninHousehold")</f>
        <v>PresenceofaComputerandTypeofInternetSubscriptioninHousehold</v>
      </c>
      <c r="G224" s="7"/>
      <c r="H224" s="7" t="s">
        <v>987</v>
      </c>
      <c r="I224" s="1" t="s">
        <v>988</v>
      </c>
      <c r="J224" s="7" t="s">
        <v>989</v>
      </c>
      <c r="K224" s="1"/>
      <c r="L224" s="1" t="s">
        <v>990</v>
      </c>
      <c r="M224" s="1"/>
      <c r="N224" s="1"/>
      <c r="O224" s="1" t="str">
        <f t="shared" si="1"/>
        <v> = 'B28008_008',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2" t="s">
        <v>10</v>
      </c>
      <c r="B225" s="1"/>
      <c r="C225" s="7" t="s">
        <v>613</v>
      </c>
      <c r="D225" s="9" t="s">
        <v>519</v>
      </c>
      <c r="E225" s="7" t="s">
        <v>614</v>
      </c>
      <c r="F225" s="3" t="str">
        <f>IFERROR(__xludf.DUMMYFUNCTION("REGEXREPLACE(E225, ""[^A-Za-z0-9]"", """")"),"PresenceofaComputerandTypeofInternetSubscriptioninHousehold")</f>
        <v>PresenceofaComputerandTypeofInternetSubscriptioninHousehold</v>
      </c>
      <c r="G225" s="7"/>
      <c r="H225" s="7" t="s">
        <v>991</v>
      </c>
      <c r="I225" s="1" t="s">
        <v>992</v>
      </c>
      <c r="J225" s="7" t="s">
        <v>993</v>
      </c>
      <c r="K225" s="1"/>
      <c r="L225" s="1" t="s">
        <v>994</v>
      </c>
      <c r="M225" s="1"/>
      <c r="N225" s="1"/>
      <c r="O225" s="1" t="str">
        <f t="shared" si="1"/>
        <v> = 'B28008_009',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2" t="s">
        <v>10</v>
      </c>
      <c r="B226" s="1"/>
      <c r="C226" s="7" t="s">
        <v>613</v>
      </c>
      <c r="D226" s="9" t="s">
        <v>519</v>
      </c>
      <c r="E226" s="7" t="s">
        <v>614</v>
      </c>
      <c r="F226" s="3" t="str">
        <f>IFERROR(__xludf.DUMMYFUNCTION("REGEXREPLACE(E226, ""[^A-Za-z0-9]"", """")"),"PresenceofaComputerandTypeofInternetSubscriptioninHousehold")</f>
        <v>PresenceofaComputerandTypeofInternetSubscriptioninHousehold</v>
      </c>
      <c r="G226" s="7"/>
      <c r="H226" s="7" t="s">
        <v>558</v>
      </c>
      <c r="I226" s="1" t="s">
        <v>995</v>
      </c>
      <c r="J226" s="7" t="s">
        <v>996</v>
      </c>
      <c r="K226" s="1"/>
      <c r="L226" s="1" t="s">
        <v>561</v>
      </c>
      <c r="M226" s="1"/>
      <c r="N226" s="1"/>
      <c r="O226" s="1" t="str">
        <f t="shared" si="1"/>
        <v> = 'B28008_010',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2" t="s">
        <v>10</v>
      </c>
      <c r="B227" s="1"/>
      <c r="C227" s="7" t="s">
        <v>613</v>
      </c>
      <c r="D227" s="9" t="s">
        <v>519</v>
      </c>
      <c r="E227" s="7" t="s">
        <v>997</v>
      </c>
      <c r="F227" s="3" t="str">
        <f>IFERROR(__xludf.DUMMYFUNCTION("REGEXREPLACE(E227, ""[^A-Za-z0-9]"", """")"),"PresenceofaComputerandTypeofInternetSubscriptioninHouseholdWhiteAlone")</f>
        <v>PresenceofaComputerandTypeofInternetSubscriptioninHouseholdWhiteAlone</v>
      </c>
      <c r="G227" s="7"/>
      <c r="H227" s="7" t="s">
        <v>16</v>
      </c>
      <c r="I227" s="1" t="s">
        <v>998</v>
      </c>
      <c r="J227" s="7" t="s">
        <v>999</v>
      </c>
      <c r="K227" s="1"/>
      <c r="L227" s="1" t="s">
        <v>20</v>
      </c>
      <c r="M227" s="1"/>
      <c r="N227" s="1"/>
      <c r="O227" s="1" t="str">
        <f t="shared" si="1"/>
        <v> = 'B28009A_001',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2" t="s">
        <v>10</v>
      </c>
      <c r="B228" s="1"/>
      <c r="C228" s="7" t="s">
        <v>613</v>
      </c>
      <c r="D228" s="9" t="s">
        <v>519</v>
      </c>
      <c r="E228" s="7" t="s">
        <v>997</v>
      </c>
      <c r="F228" s="3" t="str">
        <f>IFERROR(__xludf.DUMMYFUNCTION("REGEXREPLACE(E228, ""[^A-Za-z0-9]"", """")"),"PresenceofaComputerandTypeofInternetSubscriptioninHouseholdWhiteAlone")</f>
        <v>PresenceofaComputerandTypeofInternetSubscriptioninHouseholdWhiteAlone</v>
      </c>
      <c r="G228" s="7"/>
      <c r="H228" s="7" t="s">
        <v>617</v>
      </c>
      <c r="I228" s="1" t="s">
        <v>1000</v>
      </c>
      <c r="J228" s="7" t="s">
        <v>1001</v>
      </c>
      <c r="K228" s="1"/>
      <c r="L228" s="1" t="s">
        <v>620</v>
      </c>
      <c r="M228" s="1"/>
      <c r="N228" s="1"/>
      <c r="O228" s="1" t="str">
        <f t="shared" si="1"/>
        <v> = 'B28009A_002',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2" t="s">
        <v>10</v>
      </c>
      <c r="B229" s="1"/>
      <c r="C229" s="7" t="s">
        <v>613</v>
      </c>
      <c r="D229" s="9" t="s">
        <v>519</v>
      </c>
      <c r="E229" s="7" t="s">
        <v>997</v>
      </c>
      <c r="F229" s="3" t="str">
        <f>IFERROR(__xludf.DUMMYFUNCTION("REGEXREPLACE(E229, ""[^A-Za-z0-9]"", """")"),"PresenceofaComputerandTypeofInternetSubscriptioninHouseholdWhiteAlone")</f>
        <v>PresenceofaComputerandTypeofInternetSubscriptioninHouseholdWhiteAlone</v>
      </c>
      <c r="G229" s="7"/>
      <c r="H229" s="7" t="s">
        <v>621</v>
      </c>
      <c r="I229" s="1" t="s">
        <v>1002</v>
      </c>
      <c r="J229" s="7" t="s">
        <v>1003</v>
      </c>
      <c r="K229" s="1"/>
      <c r="L229" s="1" t="s">
        <v>624</v>
      </c>
      <c r="M229" s="1"/>
      <c r="N229" s="1"/>
      <c r="O229" s="1" t="str">
        <f t="shared" si="1"/>
        <v> = 'B28009A_003',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2" t="s">
        <v>10</v>
      </c>
      <c r="B230" s="1"/>
      <c r="C230" s="7" t="s">
        <v>613</v>
      </c>
      <c r="D230" s="9" t="s">
        <v>519</v>
      </c>
      <c r="E230" s="7" t="s">
        <v>997</v>
      </c>
      <c r="F230" s="3" t="str">
        <f>IFERROR(__xludf.DUMMYFUNCTION("REGEXREPLACE(E230, ""[^A-Za-z0-9]"", """")"),"PresenceofaComputerandTypeofInternetSubscriptioninHouseholdWhiteAlone")</f>
        <v>PresenceofaComputerandTypeofInternetSubscriptioninHouseholdWhiteAlone</v>
      </c>
      <c r="G230" s="7"/>
      <c r="H230" s="7" t="s">
        <v>625</v>
      </c>
      <c r="I230" s="1" t="s">
        <v>1004</v>
      </c>
      <c r="J230" s="7" t="s">
        <v>1005</v>
      </c>
      <c r="K230" s="1"/>
      <c r="L230" s="1" t="s">
        <v>628</v>
      </c>
      <c r="M230" s="1"/>
      <c r="N230" s="1"/>
      <c r="O230" s="1" t="str">
        <f t="shared" si="1"/>
        <v> = 'B28009A_004',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2" t="s">
        <v>10</v>
      </c>
      <c r="B231" s="1"/>
      <c r="C231" s="7" t="s">
        <v>613</v>
      </c>
      <c r="D231" s="9" t="s">
        <v>519</v>
      </c>
      <c r="E231" s="7" t="s">
        <v>997</v>
      </c>
      <c r="F231" s="3" t="str">
        <f>IFERROR(__xludf.DUMMYFUNCTION("REGEXREPLACE(E231, ""[^A-Za-z0-9]"", """")"),"PresenceofaComputerandTypeofInternetSubscriptioninHouseholdWhiteAlone")</f>
        <v>PresenceofaComputerandTypeofInternetSubscriptioninHouseholdWhiteAlone</v>
      </c>
      <c r="G231" s="7"/>
      <c r="H231" s="7" t="s">
        <v>629</v>
      </c>
      <c r="I231" s="1" t="s">
        <v>1006</v>
      </c>
      <c r="J231" s="7" t="s">
        <v>1007</v>
      </c>
      <c r="K231" s="1"/>
      <c r="L231" s="1" t="s">
        <v>632</v>
      </c>
      <c r="M231" s="1"/>
      <c r="N231" s="1"/>
      <c r="O231" s="1" t="str">
        <f t="shared" si="1"/>
        <v> = 'B28009A_005',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2" t="s">
        <v>10</v>
      </c>
      <c r="B232" s="1"/>
      <c r="C232" s="7" t="s">
        <v>613</v>
      </c>
      <c r="D232" s="9" t="s">
        <v>519</v>
      </c>
      <c r="E232" s="7" t="s">
        <v>997</v>
      </c>
      <c r="F232" s="3" t="str">
        <f>IFERROR(__xludf.DUMMYFUNCTION("REGEXREPLACE(E232, ""[^A-Za-z0-9]"", """")"),"PresenceofaComputerandTypeofInternetSubscriptioninHouseholdWhiteAlone")</f>
        <v>PresenceofaComputerandTypeofInternetSubscriptioninHouseholdWhiteAlone</v>
      </c>
      <c r="G232" s="7"/>
      <c r="H232" s="7" t="s">
        <v>558</v>
      </c>
      <c r="I232" s="1" t="s">
        <v>1008</v>
      </c>
      <c r="J232" s="7" t="s">
        <v>1009</v>
      </c>
      <c r="K232" s="1"/>
      <c r="L232" s="1" t="s">
        <v>561</v>
      </c>
      <c r="M232" s="1"/>
      <c r="N232" s="1"/>
      <c r="O232" s="1" t="str">
        <f t="shared" si="1"/>
        <v> = 'B28009A_006',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2" t="s">
        <v>10</v>
      </c>
      <c r="B233" s="1"/>
      <c r="C233" s="7" t="s">
        <v>613</v>
      </c>
      <c r="D233" s="9" t="s">
        <v>519</v>
      </c>
      <c r="E233" s="7" t="s">
        <v>1010</v>
      </c>
      <c r="F233" s="3" t="str">
        <f>IFERROR(__xludf.DUMMYFUNCTION("REGEXREPLACE(E233, ""[^A-Za-z0-9]"", """")"),"PresenceofaComputerandTypeofInternetSubscriptioninHouseholdBlackorAfricanAmericanAlone")</f>
        <v>PresenceofaComputerandTypeofInternetSubscriptioninHouseholdBlackorAfricanAmericanAlone</v>
      </c>
      <c r="G233" s="7"/>
      <c r="H233" s="7" t="s">
        <v>16</v>
      </c>
      <c r="I233" s="1" t="s">
        <v>1011</v>
      </c>
      <c r="J233" s="7" t="s">
        <v>1012</v>
      </c>
      <c r="K233" s="1"/>
      <c r="L233" s="1" t="s">
        <v>20</v>
      </c>
      <c r="M233" s="1"/>
      <c r="N233" s="1"/>
      <c r="O233" s="1" t="str">
        <f t="shared" si="1"/>
        <v> = 'B28009B_001',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2" t="s">
        <v>10</v>
      </c>
      <c r="B234" s="1"/>
      <c r="C234" s="7" t="s">
        <v>613</v>
      </c>
      <c r="D234" s="9" t="s">
        <v>519</v>
      </c>
      <c r="E234" s="7" t="s">
        <v>1010</v>
      </c>
      <c r="F234" s="3" t="str">
        <f>IFERROR(__xludf.DUMMYFUNCTION("REGEXREPLACE(E234, ""[^A-Za-z0-9]"", """")"),"PresenceofaComputerandTypeofInternetSubscriptioninHouseholdBlackorAfricanAmericanAlone")</f>
        <v>PresenceofaComputerandTypeofInternetSubscriptioninHouseholdBlackorAfricanAmericanAlone</v>
      </c>
      <c r="G234" s="7"/>
      <c r="H234" s="7" t="s">
        <v>617</v>
      </c>
      <c r="I234" s="1" t="s">
        <v>1013</v>
      </c>
      <c r="J234" s="7" t="s">
        <v>1014</v>
      </c>
      <c r="K234" s="1"/>
      <c r="L234" s="1" t="s">
        <v>620</v>
      </c>
      <c r="M234" s="1"/>
      <c r="N234" s="1"/>
      <c r="O234" s="1" t="str">
        <f t="shared" si="1"/>
        <v> = 'B28009B_002',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2" t="s">
        <v>10</v>
      </c>
      <c r="B235" s="1"/>
      <c r="C235" s="7" t="s">
        <v>613</v>
      </c>
      <c r="D235" s="9" t="s">
        <v>519</v>
      </c>
      <c r="E235" s="7" t="s">
        <v>1010</v>
      </c>
      <c r="F235" s="3" t="str">
        <f>IFERROR(__xludf.DUMMYFUNCTION("REGEXREPLACE(E235, ""[^A-Za-z0-9]"", """")"),"PresenceofaComputerandTypeofInternetSubscriptioninHouseholdBlackorAfricanAmericanAlone")</f>
        <v>PresenceofaComputerandTypeofInternetSubscriptioninHouseholdBlackorAfricanAmericanAlone</v>
      </c>
      <c r="G235" s="7"/>
      <c r="H235" s="7" t="s">
        <v>621</v>
      </c>
      <c r="I235" s="1" t="s">
        <v>1015</v>
      </c>
      <c r="J235" s="7" t="s">
        <v>1016</v>
      </c>
      <c r="K235" s="1"/>
      <c r="L235" s="1" t="s">
        <v>624</v>
      </c>
      <c r="M235" s="1"/>
      <c r="N235" s="1"/>
      <c r="O235" s="1" t="str">
        <f t="shared" si="1"/>
        <v> = 'B28009B_003',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2" t="s">
        <v>10</v>
      </c>
      <c r="B236" s="1"/>
      <c r="C236" s="7" t="s">
        <v>613</v>
      </c>
      <c r="D236" s="9" t="s">
        <v>519</v>
      </c>
      <c r="E236" s="7" t="s">
        <v>1010</v>
      </c>
      <c r="F236" s="3" t="str">
        <f>IFERROR(__xludf.DUMMYFUNCTION("REGEXREPLACE(E236, ""[^A-Za-z0-9]"", """")"),"PresenceofaComputerandTypeofInternetSubscriptioninHouseholdBlackorAfricanAmericanAlone")</f>
        <v>PresenceofaComputerandTypeofInternetSubscriptioninHouseholdBlackorAfricanAmericanAlone</v>
      </c>
      <c r="G236" s="7"/>
      <c r="H236" s="7" t="s">
        <v>625</v>
      </c>
      <c r="I236" s="1" t="s">
        <v>1017</v>
      </c>
      <c r="J236" s="7" t="s">
        <v>1018</v>
      </c>
      <c r="K236" s="1"/>
      <c r="L236" s="1" t="s">
        <v>628</v>
      </c>
      <c r="M236" s="1"/>
      <c r="N236" s="1"/>
      <c r="O236" s="1" t="str">
        <f t="shared" si="1"/>
        <v> = 'B28009B_004',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2" t="s">
        <v>10</v>
      </c>
      <c r="B237" s="1"/>
      <c r="C237" s="7" t="s">
        <v>613</v>
      </c>
      <c r="D237" s="9" t="s">
        <v>519</v>
      </c>
      <c r="E237" s="7" t="s">
        <v>1010</v>
      </c>
      <c r="F237" s="3" t="str">
        <f>IFERROR(__xludf.DUMMYFUNCTION("REGEXREPLACE(E237, ""[^A-Za-z0-9]"", """")"),"PresenceofaComputerandTypeofInternetSubscriptioninHouseholdBlackorAfricanAmericanAlone")</f>
        <v>PresenceofaComputerandTypeofInternetSubscriptioninHouseholdBlackorAfricanAmericanAlone</v>
      </c>
      <c r="G237" s="7"/>
      <c r="H237" s="7" t="s">
        <v>629</v>
      </c>
      <c r="I237" s="1" t="s">
        <v>1019</v>
      </c>
      <c r="J237" s="7" t="s">
        <v>1020</v>
      </c>
      <c r="K237" s="1"/>
      <c r="L237" s="1" t="s">
        <v>632</v>
      </c>
      <c r="M237" s="1"/>
      <c r="N237" s="1"/>
      <c r="O237" s="1" t="str">
        <f t="shared" si="1"/>
        <v> = 'B28009B_005',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2" t="s">
        <v>10</v>
      </c>
      <c r="B238" s="1"/>
      <c r="C238" s="7" t="s">
        <v>613</v>
      </c>
      <c r="D238" s="9" t="s">
        <v>519</v>
      </c>
      <c r="E238" s="7" t="s">
        <v>1010</v>
      </c>
      <c r="F238" s="3" t="str">
        <f>IFERROR(__xludf.DUMMYFUNCTION("REGEXREPLACE(E238, ""[^A-Za-z0-9]"", """")"),"PresenceofaComputerandTypeofInternetSubscriptioninHouseholdBlackorAfricanAmericanAlone")</f>
        <v>PresenceofaComputerandTypeofInternetSubscriptioninHouseholdBlackorAfricanAmericanAlone</v>
      </c>
      <c r="G238" s="7"/>
      <c r="H238" s="7" t="s">
        <v>558</v>
      </c>
      <c r="I238" s="1" t="s">
        <v>1021</v>
      </c>
      <c r="J238" s="7" t="s">
        <v>1022</v>
      </c>
      <c r="K238" s="1"/>
      <c r="L238" s="1" t="s">
        <v>561</v>
      </c>
      <c r="M238" s="1"/>
      <c r="N238" s="1"/>
      <c r="O238" s="1" t="str">
        <f t="shared" si="1"/>
        <v> = 'B28009B_006',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2" t="s">
        <v>10</v>
      </c>
      <c r="B239" s="1"/>
      <c r="C239" s="7" t="s">
        <v>613</v>
      </c>
      <c r="D239" s="9" t="s">
        <v>519</v>
      </c>
      <c r="E239" s="7" t="s">
        <v>1023</v>
      </c>
      <c r="F239" s="3" t="str">
        <f>IFERROR(__xludf.DUMMYFUNCTION("REGEXREPLACE(E239, ""[^A-Za-z0-9]"", """")"),"PresenceofaComputerandTypeofInternetSubscriptioninHouseholdAmericanIndianandAlaskaNativeAlone")</f>
        <v>PresenceofaComputerandTypeofInternetSubscriptioninHouseholdAmericanIndianandAlaskaNativeAlone</v>
      </c>
      <c r="G239" s="7"/>
      <c r="H239" s="7" t="s">
        <v>16</v>
      </c>
      <c r="I239" s="1" t="s">
        <v>1024</v>
      </c>
      <c r="J239" s="7" t="s">
        <v>1025</v>
      </c>
      <c r="K239" s="1"/>
      <c r="L239" s="1" t="s">
        <v>20</v>
      </c>
      <c r="M239" s="1"/>
      <c r="N239" s="1"/>
      <c r="O239" s="1" t="str">
        <f t="shared" si="1"/>
        <v> = 'B28009C_001',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2" t="s">
        <v>10</v>
      </c>
      <c r="B240" s="1"/>
      <c r="C240" s="7" t="s">
        <v>613</v>
      </c>
      <c r="D240" s="9" t="s">
        <v>519</v>
      </c>
      <c r="E240" s="7" t="s">
        <v>1023</v>
      </c>
      <c r="F240" s="3" t="str">
        <f>IFERROR(__xludf.DUMMYFUNCTION("REGEXREPLACE(E240, ""[^A-Za-z0-9]"", """")"),"PresenceofaComputerandTypeofInternetSubscriptioninHouseholdAmericanIndianandAlaskaNativeAlone")</f>
        <v>PresenceofaComputerandTypeofInternetSubscriptioninHouseholdAmericanIndianandAlaskaNativeAlone</v>
      </c>
      <c r="G240" s="7"/>
      <c r="H240" s="7" t="s">
        <v>617</v>
      </c>
      <c r="I240" s="1" t="s">
        <v>1026</v>
      </c>
      <c r="J240" s="7" t="s">
        <v>1027</v>
      </c>
      <c r="K240" s="1"/>
      <c r="L240" s="1" t="s">
        <v>620</v>
      </c>
      <c r="M240" s="1"/>
      <c r="N240" s="1"/>
      <c r="O240" s="1" t="str">
        <f t="shared" si="1"/>
        <v> = 'B28009C_002',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2" t="s">
        <v>10</v>
      </c>
      <c r="B241" s="1"/>
      <c r="C241" s="7" t="s">
        <v>613</v>
      </c>
      <c r="D241" s="9" t="s">
        <v>519</v>
      </c>
      <c r="E241" s="7" t="s">
        <v>1023</v>
      </c>
      <c r="F241" s="3" t="str">
        <f>IFERROR(__xludf.DUMMYFUNCTION("REGEXREPLACE(E241, ""[^A-Za-z0-9]"", """")"),"PresenceofaComputerandTypeofInternetSubscriptioninHouseholdAmericanIndianandAlaskaNativeAlone")</f>
        <v>PresenceofaComputerandTypeofInternetSubscriptioninHouseholdAmericanIndianandAlaskaNativeAlone</v>
      </c>
      <c r="G241" s="7"/>
      <c r="H241" s="7" t="s">
        <v>621</v>
      </c>
      <c r="I241" s="1" t="s">
        <v>1028</v>
      </c>
      <c r="J241" s="7" t="s">
        <v>1029</v>
      </c>
      <c r="K241" s="1"/>
      <c r="L241" s="1" t="s">
        <v>624</v>
      </c>
      <c r="M241" s="1"/>
      <c r="N241" s="1"/>
      <c r="O241" s="1" t="str">
        <f t="shared" si="1"/>
        <v> = 'B28009C_003',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2" t="s">
        <v>10</v>
      </c>
      <c r="B242" s="1"/>
      <c r="C242" s="7" t="s">
        <v>613</v>
      </c>
      <c r="D242" s="9" t="s">
        <v>519</v>
      </c>
      <c r="E242" s="7" t="s">
        <v>1023</v>
      </c>
      <c r="F242" s="3" t="str">
        <f>IFERROR(__xludf.DUMMYFUNCTION("REGEXREPLACE(E242, ""[^A-Za-z0-9]"", """")"),"PresenceofaComputerandTypeofInternetSubscriptioninHouseholdAmericanIndianandAlaskaNativeAlone")</f>
        <v>PresenceofaComputerandTypeofInternetSubscriptioninHouseholdAmericanIndianandAlaskaNativeAlone</v>
      </c>
      <c r="G242" s="7"/>
      <c r="H242" s="7" t="s">
        <v>625</v>
      </c>
      <c r="I242" s="1" t="s">
        <v>1030</v>
      </c>
      <c r="J242" s="7" t="s">
        <v>1031</v>
      </c>
      <c r="K242" s="1"/>
      <c r="L242" s="1" t="s">
        <v>628</v>
      </c>
      <c r="M242" s="1"/>
      <c r="N242" s="1"/>
      <c r="O242" s="1" t="str">
        <f t="shared" si="1"/>
        <v> = 'B28009C_004',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2" t="s">
        <v>10</v>
      </c>
      <c r="B243" s="1"/>
      <c r="C243" s="7" t="s">
        <v>613</v>
      </c>
      <c r="D243" s="9" t="s">
        <v>519</v>
      </c>
      <c r="E243" s="7" t="s">
        <v>1023</v>
      </c>
      <c r="F243" s="3" t="str">
        <f>IFERROR(__xludf.DUMMYFUNCTION("REGEXREPLACE(E243, ""[^A-Za-z0-9]"", """")"),"PresenceofaComputerandTypeofInternetSubscriptioninHouseholdAmericanIndianandAlaskaNativeAlone")</f>
        <v>PresenceofaComputerandTypeofInternetSubscriptioninHouseholdAmericanIndianandAlaskaNativeAlone</v>
      </c>
      <c r="G243" s="7"/>
      <c r="H243" s="7" t="s">
        <v>629</v>
      </c>
      <c r="I243" s="1" t="s">
        <v>1032</v>
      </c>
      <c r="J243" s="7" t="s">
        <v>1033</v>
      </c>
      <c r="K243" s="1"/>
      <c r="L243" s="1" t="s">
        <v>632</v>
      </c>
      <c r="M243" s="1"/>
      <c r="N243" s="1"/>
      <c r="O243" s="1" t="str">
        <f t="shared" si="1"/>
        <v> = 'B28009C_005',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2" t="s">
        <v>10</v>
      </c>
      <c r="B244" s="1"/>
      <c r="C244" s="7" t="s">
        <v>613</v>
      </c>
      <c r="D244" s="9" t="s">
        <v>519</v>
      </c>
      <c r="E244" s="7" t="s">
        <v>1023</v>
      </c>
      <c r="F244" s="3" t="str">
        <f>IFERROR(__xludf.DUMMYFUNCTION("REGEXREPLACE(E244, ""[^A-Za-z0-9]"", """")"),"PresenceofaComputerandTypeofInternetSubscriptioninHouseholdAmericanIndianandAlaskaNativeAlone")</f>
        <v>PresenceofaComputerandTypeofInternetSubscriptioninHouseholdAmericanIndianandAlaskaNativeAlone</v>
      </c>
      <c r="G244" s="7"/>
      <c r="H244" s="7" t="s">
        <v>558</v>
      </c>
      <c r="I244" s="1" t="s">
        <v>1034</v>
      </c>
      <c r="J244" s="7" t="s">
        <v>1035</v>
      </c>
      <c r="K244" s="1"/>
      <c r="L244" s="1" t="s">
        <v>561</v>
      </c>
      <c r="M244" s="1"/>
      <c r="N244" s="1"/>
      <c r="O244" s="1" t="str">
        <f t="shared" si="1"/>
        <v> = 'B28009C_006',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2" t="s">
        <v>10</v>
      </c>
      <c r="B245" s="1"/>
      <c r="C245" s="7" t="s">
        <v>613</v>
      </c>
      <c r="D245" s="9" t="s">
        <v>519</v>
      </c>
      <c r="E245" s="7" t="s">
        <v>1036</v>
      </c>
      <c r="F245" s="3" t="str">
        <f>IFERROR(__xludf.DUMMYFUNCTION("REGEXREPLACE(E245, ""[^A-Za-z0-9]"", """")"),"PresenceofaComputerandTypeofInternetSubscriptioninHouseholdAsianAlone")</f>
        <v>PresenceofaComputerandTypeofInternetSubscriptioninHouseholdAsianAlone</v>
      </c>
      <c r="G245" s="7"/>
      <c r="H245" s="7" t="s">
        <v>16</v>
      </c>
      <c r="I245" s="1" t="s">
        <v>1037</v>
      </c>
      <c r="J245" s="7" t="s">
        <v>1038</v>
      </c>
      <c r="K245" s="1"/>
      <c r="L245" s="1" t="s">
        <v>20</v>
      </c>
      <c r="M245" s="1"/>
      <c r="N245" s="1"/>
      <c r="O245" s="1" t="str">
        <f t="shared" si="1"/>
        <v> = 'B28009D_001',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2" t="s">
        <v>10</v>
      </c>
      <c r="B246" s="1"/>
      <c r="C246" s="7" t="s">
        <v>613</v>
      </c>
      <c r="D246" s="9" t="s">
        <v>519</v>
      </c>
      <c r="E246" s="7" t="s">
        <v>1036</v>
      </c>
      <c r="F246" s="3" t="str">
        <f>IFERROR(__xludf.DUMMYFUNCTION("REGEXREPLACE(E246, ""[^A-Za-z0-9]"", """")"),"PresenceofaComputerandTypeofInternetSubscriptioninHouseholdAsianAlone")</f>
        <v>PresenceofaComputerandTypeofInternetSubscriptioninHouseholdAsianAlone</v>
      </c>
      <c r="G246" s="7"/>
      <c r="H246" s="7" t="s">
        <v>617</v>
      </c>
      <c r="I246" s="1" t="s">
        <v>1039</v>
      </c>
      <c r="J246" s="7" t="s">
        <v>1040</v>
      </c>
      <c r="K246" s="1"/>
      <c r="L246" s="1" t="s">
        <v>620</v>
      </c>
      <c r="M246" s="1"/>
      <c r="N246" s="1"/>
      <c r="O246" s="1" t="str">
        <f t="shared" si="1"/>
        <v> = 'B28009D_002',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2" t="s">
        <v>10</v>
      </c>
      <c r="B247" s="1"/>
      <c r="C247" s="7" t="s">
        <v>613</v>
      </c>
      <c r="D247" s="9" t="s">
        <v>519</v>
      </c>
      <c r="E247" s="7" t="s">
        <v>1036</v>
      </c>
      <c r="F247" s="3" t="str">
        <f>IFERROR(__xludf.DUMMYFUNCTION("REGEXREPLACE(E247, ""[^A-Za-z0-9]"", """")"),"PresenceofaComputerandTypeofInternetSubscriptioninHouseholdAsianAlone")</f>
        <v>PresenceofaComputerandTypeofInternetSubscriptioninHouseholdAsianAlone</v>
      </c>
      <c r="G247" s="7"/>
      <c r="H247" s="7" t="s">
        <v>621</v>
      </c>
      <c r="I247" s="1" t="s">
        <v>1041</v>
      </c>
      <c r="J247" s="7" t="s">
        <v>1042</v>
      </c>
      <c r="K247" s="1"/>
      <c r="L247" s="1" t="s">
        <v>624</v>
      </c>
      <c r="M247" s="1"/>
      <c r="N247" s="1"/>
      <c r="O247" s="1" t="str">
        <f t="shared" si="1"/>
        <v> = 'B28009D_003',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2" t="s">
        <v>10</v>
      </c>
      <c r="B248" s="1"/>
      <c r="C248" s="7" t="s">
        <v>613</v>
      </c>
      <c r="D248" s="9" t="s">
        <v>519</v>
      </c>
      <c r="E248" s="7" t="s">
        <v>1036</v>
      </c>
      <c r="F248" s="3" t="str">
        <f>IFERROR(__xludf.DUMMYFUNCTION("REGEXREPLACE(E248, ""[^A-Za-z0-9]"", """")"),"PresenceofaComputerandTypeofInternetSubscriptioninHouseholdAsianAlone")</f>
        <v>PresenceofaComputerandTypeofInternetSubscriptioninHouseholdAsianAlone</v>
      </c>
      <c r="G248" s="7"/>
      <c r="H248" s="7" t="s">
        <v>625</v>
      </c>
      <c r="I248" s="1" t="s">
        <v>1043</v>
      </c>
      <c r="J248" s="7" t="s">
        <v>1044</v>
      </c>
      <c r="K248" s="1"/>
      <c r="L248" s="1" t="s">
        <v>628</v>
      </c>
      <c r="M248" s="1"/>
      <c r="N248" s="1"/>
      <c r="O248" s="1" t="str">
        <f t="shared" si="1"/>
        <v> = 'B28009D_004',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2" t="s">
        <v>10</v>
      </c>
      <c r="B249" s="1"/>
      <c r="C249" s="7" t="s">
        <v>613</v>
      </c>
      <c r="D249" s="9" t="s">
        <v>519</v>
      </c>
      <c r="E249" s="7" t="s">
        <v>1036</v>
      </c>
      <c r="F249" s="3" t="str">
        <f>IFERROR(__xludf.DUMMYFUNCTION("REGEXREPLACE(E249, ""[^A-Za-z0-9]"", """")"),"PresenceofaComputerandTypeofInternetSubscriptioninHouseholdAsianAlone")</f>
        <v>PresenceofaComputerandTypeofInternetSubscriptioninHouseholdAsianAlone</v>
      </c>
      <c r="G249" s="7"/>
      <c r="H249" s="7" t="s">
        <v>629</v>
      </c>
      <c r="I249" s="1" t="s">
        <v>1045</v>
      </c>
      <c r="J249" s="7" t="s">
        <v>1046</v>
      </c>
      <c r="K249" s="1"/>
      <c r="L249" s="1" t="s">
        <v>632</v>
      </c>
      <c r="M249" s="1"/>
      <c r="N249" s="1"/>
      <c r="O249" s="1" t="str">
        <f t="shared" si="1"/>
        <v> = 'B28009D_005',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2" t="s">
        <v>10</v>
      </c>
      <c r="B250" s="1"/>
      <c r="C250" s="7" t="s">
        <v>613</v>
      </c>
      <c r="D250" s="9" t="s">
        <v>519</v>
      </c>
      <c r="E250" s="7" t="s">
        <v>1036</v>
      </c>
      <c r="F250" s="3" t="str">
        <f>IFERROR(__xludf.DUMMYFUNCTION("REGEXREPLACE(E250, ""[^A-Za-z0-9]"", """")"),"PresenceofaComputerandTypeofInternetSubscriptioninHouseholdAsianAlone")</f>
        <v>PresenceofaComputerandTypeofInternetSubscriptioninHouseholdAsianAlone</v>
      </c>
      <c r="G250" s="7"/>
      <c r="H250" s="7" t="s">
        <v>558</v>
      </c>
      <c r="I250" s="1" t="s">
        <v>1047</v>
      </c>
      <c r="J250" s="7" t="s">
        <v>1048</v>
      </c>
      <c r="K250" s="1"/>
      <c r="L250" s="1" t="s">
        <v>561</v>
      </c>
      <c r="M250" s="1"/>
      <c r="N250" s="1"/>
      <c r="O250" s="1" t="str">
        <f t="shared" si="1"/>
        <v> = 'B28009D_006',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2" t="s">
        <v>10</v>
      </c>
      <c r="B251" s="1"/>
      <c r="C251" s="7" t="s">
        <v>613</v>
      </c>
      <c r="D251" s="9" t="s">
        <v>519</v>
      </c>
      <c r="E251" s="7" t="s">
        <v>1049</v>
      </c>
      <c r="F251" s="3" t="str">
        <f>IFERROR(__xludf.DUMMYFUNCTION("REGEXREPLACE(E251, ""[^A-Za-z0-9]"", """")"),"PresenceofaComputerandTypeofInternetSubscriptioninHouseholdNativeHawaiianandOtherPacificIslanderAlone")</f>
        <v>PresenceofaComputerandTypeofInternetSubscriptioninHouseholdNativeHawaiianandOtherPacificIslanderAlone</v>
      </c>
      <c r="G251" s="7"/>
      <c r="H251" s="7" t="s">
        <v>16</v>
      </c>
      <c r="I251" s="1" t="s">
        <v>1050</v>
      </c>
      <c r="J251" s="7" t="s">
        <v>1051</v>
      </c>
      <c r="K251" s="1"/>
      <c r="L251" s="1" t="s">
        <v>20</v>
      </c>
      <c r="M251" s="1"/>
      <c r="N251" s="1"/>
      <c r="O251" s="1" t="str">
        <f t="shared" si="1"/>
        <v> = 'B28009E_001',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2" t="s">
        <v>10</v>
      </c>
      <c r="B252" s="1"/>
      <c r="C252" s="7" t="s">
        <v>613</v>
      </c>
      <c r="D252" s="9" t="s">
        <v>519</v>
      </c>
      <c r="E252" s="7" t="s">
        <v>1049</v>
      </c>
      <c r="F252" s="3" t="str">
        <f>IFERROR(__xludf.DUMMYFUNCTION("REGEXREPLACE(E252, ""[^A-Za-z0-9]"", """")"),"PresenceofaComputerandTypeofInternetSubscriptioninHouseholdNativeHawaiianandOtherPacificIslanderAlone")</f>
        <v>PresenceofaComputerandTypeofInternetSubscriptioninHouseholdNativeHawaiianandOtherPacificIslanderAlone</v>
      </c>
      <c r="G252" s="7"/>
      <c r="H252" s="7" t="s">
        <v>617</v>
      </c>
      <c r="I252" s="1" t="s">
        <v>1052</v>
      </c>
      <c r="J252" s="7" t="s">
        <v>1053</v>
      </c>
      <c r="K252" s="1"/>
      <c r="L252" s="1" t="s">
        <v>620</v>
      </c>
      <c r="M252" s="1"/>
      <c r="N252" s="1"/>
      <c r="O252" s="1" t="str">
        <f t="shared" si="1"/>
        <v> = 'B28009E_002',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2" t="s">
        <v>10</v>
      </c>
      <c r="B253" s="1"/>
      <c r="C253" s="7" t="s">
        <v>613</v>
      </c>
      <c r="D253" s="9" t="s">
        <v>519</v>
      </c>
      <c r="E253" s="7" t="s">
        <v>1049</v>
      </c>
      <c r="F253" s="3" t="str">
        <f>IFERROR(__xludf.DUMMYFUNCTION("REGEXREPLACE(E253, ""[^A-Za-z0-9]"", """")"),"PresenceofaComputerandTypeofInternetSubscriptioninHouseholdNativeHawaiianandOtherPacificIslanderAlone")</f>
        <v>PresenceofaComputerandTypeofInternetSubscriptioninHouseholdNativeHawaiianandOtherPacificIslanderAlone</v>
      </c>
      <c r="G253" s="7"/>
      <c r="H253" s="7" t="s">
        <v>621</v>
      </c>
      <c r="I253" s="1" t="s">
        <v>1054</v>
      </c>
      <c r="J253" s="7" t="s">
        <v>1055</v>
      </c>
      <c r="K253" s="1"/>
      <c r="L253" s="1" t="s">
        <v>624</v>
      </c>
      <c r="M253" s="1"/>
      <c r="N253" s="1"/>
      <c r="O253" s="1" t="str">
        <f t="shared" si="1"/>
        <v> = 'B28009E_003',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2" t="s">
        <v>10</v>
      </c>
      <c r="B254" s="1"/>
      <c r="C254" s="7" t="s">
        <v>613</v>
      </c>
      <c r="D254" s="9" t="s">
        <v>519</v>
      </c>
      <c r="E254" s="7" t="s">
        <v>1049</v>
      </c>
      <c r="F254" s="3" t="str">
        <f>IFERROR(__xludf.DUMMYFUNCTION("REGEXREPLACE(E254, ""[^A-Za-z0-9]"", """")"),"PresenceofaComputerandTypeofInternetSubscriptioninHouseholdNativeHawaiianandOtherPacificIslanderAlone")</f>
        <v>PresenceofaComputerandTypeofInternetSubscriptioninHouseholdNativeHawaiianandOtherPacificIslanderAlone</v>
      </c>
      <c r="G254" s="7"/>
      <c r="H254" s="7" t="s">
        <v>625</v>
      </c>
      <c r="I254" s="1" t="s">
        <v>1056</v>
      </c>
      <c r="J254" s="7" t="s">
        <v>1057</v>
      </c>
      <c r="K254" s="1"/>
      <c r="L254" s="1" t="s">
        <v>628</v>
      </c>
      <c r="M254" s="1"/>
      <c r="N254" s="1"/>
      <c r="O254" s="1" t="str">
        <f t="shared" si="1"/>
        <v> = 'B28009E_004',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2" t="s">
        <v>10</v>
      </c>
      <c r="B255" s="1"/>
      <c r="C255" s="7" t="s">
        <v>613</v>
      </c>
      <c r="D255" s="9" t="s">
        <v>519</v>
      </c>
      <c r="E255" s="7" t="s">
        <v>1049</v>
      </c>
      <c r="F255" s="3" t="str">
        <f>IFERROR(__xludf.DUMMYFUNCTION("REGEXREPLACE(E255, ""[^A-Za-z0-9]"", """")"),"PresenceofaComputerandTypeofInternetSubscriptioninHouseholdNativeHawaiianandOtherPacificIslanderAlone")</f>
        <v>PresenceofaComputerandTypeofInternetSubscriptioninHouseholdNativeHawaiianandOtherPacificIslanderAlone</v>
      </c>
      <c r="G255" s="7"/>
      <c r="H255" s="7" t="s">
        <v>629</v>
      </c>
      <c r="I255" s="1" t="s">
        <v>1058</v>
      </c>
      <c r="J255" s="7" t="s">
        <v>1059</v>
      </c>
      <c r="K255" s="1"/>
      <c r="L255" s="1" t="s">
        <v>632</v>
      </c>
      <c r="M255" s="1"/>
      <c r="N255" s="1"/>
      <c r="O255" s="1" t="str">
        <f t="shared" si="1"/>
        <v> = 'B28009E_005',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2" t="s">
        <v>10</v>
      </c>
      <c r="B256" s="1"/>
      <c r="C256" s="7" t="s">
        <v>613</v>
      </c>
      <c r="D256" s="9" t="s">
        <v>519</v>
      </c>
      <c r="E256" s="7" t="s">
        <v>1049</v>
      </c>
      <c r="F256" s="3" t="str">
        <f>IFERROR(__xludf.DUMMYFUNCTION("REGEXREPLACE(E256, ""[^A-Za-z0-9]"", """")"),"PresenceofaComputerandTypeofInternetSubscriptioninHouseholdNativeHawaiianandOtherPacificIslanderAlone")</f>
        <v>PresenceofaComputerandTypeofInternetSubscriptioninHouseholdNativeHawaiianandOtherPacificIslanderAlone</v>
      </c>
      <c r="G256" s="7"/>
      <c r="H256" s="7" t="s">
        <v>558</v>
      </c>
      <c r="I256" s="1" t="s">
        <v>1060</v>
      </c>
      <c r="J256" s="7" t="s">
        <v>1061</v>
      </c>
      <c r="K256" s="1"/>
      <c r="L256" s="1" t="s">
        <v>561</v>
      </c>
      <c r="M256" s="1"/>
      <c r="N256" s="1"/>
      <c r="O256" s="1" t="str">
        <f t="shared" si="1"/>
        <v> = 'B28009E_006',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2" t="s">
        <v>10</v>
      </c>
      <c r="B257" s="1"/>
      <c r="C257" s="7" t="s">
        <v>613</v>
      </c>
      <c r="D257" s="9" t="s">
        <v>519</v>
      </c>
      <c r="E257" s="7" t="s">
        <v>1062</v>
      </c>
      <c r="F257" s="3" t="str">
        <f>IFERROR(__xludf.DUMMYFUNCTION("REGEXREPLACE(E257, ""[^A-Za-z0-9]"", """")"),"PresenceofaComputerandTypeofInternetSubscriptioninHouseholdSomeOtherRaceAlone")</f>
        <v>PresenceofaComputerandTypeofInternetSubscriptioninHouseholdSomeOtherRaceAlone</v>
      </c>
      <c r="G257" s="7"/>
      <c r="H257" s="7" t="s">
        <v>16</v>
      </c>
      <c r="I257" s="1" t="s">
        <v>1063</v>
      </c>
      <c r="J257" s="7" t="s">
        <v>1064</v>
      </c>
      <c r="K257" s="1"/>
      <c r="L257" s="1" t="s">
        <v>20</v>
      </c>
      <c r="M257" s="1"/>
      <c r="N257" s="1"/>
      <c r="O257" s="1" t="str">
        <f t="shared" si="1"/>
        <v> = 'B28009F_001',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2" t="s">
        <v>10</v>
      </c>
      <c r="B258" s="1"/>
      <c r="C258" s="7" t="s">
        <v>613</v>
      </c>
      <c r="D258" s="9" t="s">
        <v>519</v>
      </c>
      <c r="E258" s="7" t="s">
        <v>1062</v>
      </c>
      <c r="F258" s="3" t="str">
        <f>IFERROR(__xludf.DUMMYFUNCTION("REGEXREPLACE(E258, ""[^A-Za-z0-9]"", """")"),"PresenceofaComputerandTypeofInternetSubscriptioninHouseholdSomeOtherRaceAlone")</f>
        <v>PresenceofaComputerandTypeofInternetSubscriptioninHouseholdSomeOtherRaceAlone</v>
      </c>
      <c r="G258" s="7"/>
      <c r="H258" s="7" t="s">
        <v>617</v>
      </c>
      <c r="I258" s="1" t="s">
        <v>1065</v>
      </c>
      <c r="J258" s="7" t="s">
        <v>1066</v>
      </c>
      <c r="K258" s="1"/>
      <c r="L258" s="1" t="s">
        <v>620</v>
      </c>
      <c r="M258" s="1"/>
      <c r="N258" s="1"/>
      <c r="O258" s="1" t="str">
        <f t="shared" si="1"/>
        <v> = 'B28009F_002',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2" t="s">
        <v>10</v>
      </c>
      <c r="B259" s="1"/>
      <c r="C259" s="7" t="s">
        <v>613</v>
      </c>
      <c r="D259" s="9" t="s">
        <v>519</v>
      </c>
      <c r="E259" s="7" t="s">
        <v>1062</v>
      </c>
      <c r="F259" s="3" t="str">
        <f>IFERROR(__xludf.DUMMYFUNCTION("REGEXREPLACE(E259, ""[^A-Za-z0-9]"", """")"),"PresenceofaComputerandTypeofInternetSubscriptioninHouseholdSomeOtherRaceAlone")</f>
        <v>PresenceofaComputerandTypeofInternetSubscriptioninHouseholdSomeOtherRaceAlone</v>
      </c>
      <c r="G259" s="7"/>
      <c r="H259" s="7" t="s">
        <v>621</v>
      </c>
      <c r="I259" s="1" t="s">
        <v>1067</v>
      </c>
      <c r="J259" s="7" t="s">
        <v>1068</v>
      </c>
      <c r="K259" s="1"/>
      <c r="L259" s="1" t="s">
        <v>624</v>
      </c>
      <c r="M259" s="1"/>
      <c r="N259" s="1"/>
      <c r="O259" s="1" t="str">
        <f t="shared" si="1"/>
        <v> = 'B28009F_003',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2" t="s">
        <v>10</v>
      </c>
      <c r="B260" s="1"/>
      <c r="C260" s="7" t="s">
        <v>613</v>
      </c>
      <c r="D260" s="9" t="s">
        <v>519</v>
      </c>
      <c r="E260" s="7" t="s">
        <v>1062</v>
      </c>
      <c r="F260" s="3" t="str">
        <f>IFERROR(__xludf.DUMMYFUNCTION("REGEXREPLACE(E260, ""[^A-Za-z0-9]"", """")"),"PresenceofaComputerandTypeofInternetSubscriptioninHouseholdSomeOtherRaceAlone")</f>
        <v>PresenceofaComputerandTypeofInternetSubscriptioninHouseholdSomeOtherRaceAlone</v>
      </c>
      <c r="G260" s="7"/>
      <c r="H260" s="7" t="s">
        <v>625</v>
      </c>
      <c r="I260" s="1" t="s">
        <v>1069</v>
      </c>
      <c r="J260" s="7" t="s">
        <v>1070</v>
      </c>
      <c r="K260" s="1"/>
      <c r="L260" s="1" t="s">
        <v>628</v>
      </c>
      <c r="M260" s="1"/>
      <c r="N260" s="1"/>
      <c r="O260" s="1" t="str">
        <f t="shared" si="1"/>
        <v> = 'B28009F_004',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2" t="s">
        <v>10</v>
      </c>
      <c r="B261" s="1"/>
      <c r="C261" s="7" t="s">
        <v>613</v>
      </c>
      <c r="D261" s="9" t="s">
        <v>519</v>
      </c>
      <c r="E261" s="7" t="s">
        <v>1062</v>
      </c>
      <c r="F261" s="3" t="str">
        <f>IFERROR(__xludf.DUMMYFUNCTION("REGEXREPLACE(E261, ""[^A-Za-z0-9]"", """")"),"PresenceofaComputerandTypeofInternetSubscriptioninHouseholdSomeOtherRaceAlone")</f>
        <v>PresenceofaComputerandTypeofInternetSubscriptioninHouseholdSomeOtherRaceAlone</v>
      </c>
      <c r="G261" s="7"/>
      <c r="H261" s="7" t="s">
        <v>629</v>
      </c>
      <c r="I261" s="1" t="s">
        <v>1071</v>
      </c>
      <c r="J261" s="7" t="s">
        <v>1072</v>
      </c>
      <c r="K261" s="1"/>
      <c r="L261" s="1" t="s">
        <v>632</v>
      </c>
      <c r="M261" s="1"/>
      <c r="N261" s="1"/>
      <c r="O261" s="1" t="str">
        <f t="shared" si="1"/>
        <v> = 'B28009F_005',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2" t="s">
        <v>10</v>
      </c>
      <c r="B262" s="1"/>
      <c r="C262" s="7" t="s">
        <v>613</v>
      </c>
      <c r="D262" s="9" t="s">
        <v>519</v>
      </c>
      <c r="E262" s="7" t="s">
        <v>1062</v>
      </c>
      <c r="F262" s="3" t="str">
        <f>IFERROR(__xludf.DUMMYFUNCTION("REGEXREPLACE(E262, ""[^A-Za-z0-9]"", """")"),"PresenceofaComputerandTypeofInternetSubscriptioninHouseholdSomeOtherRaceAlone")</f>
        <v>PresenceofaComputerandTypeofInternetSubscriptioninHouseholdSomeOtherRaceAlone</v>
      </c>
      <c r="G262" s="7"/>
      <c r="H262" s="7" t="s">
        <v>558</v>
      </c>
      <c r="I262" s="1" t="s">
        <v>1073</v>
      </c>
      <c r="J262" s="7" t="s">
        <v>1074</v>
      </c>
      <c r="K262" s="1"/>
      <c r="L262" s="1" t="s">
        <v>561</v>
      </c>
      <c r="M262" s="1"/>
      <c r="N262" s="1"/>
      <c r="O262" s="1" t="str">
        <f t="shared" si="1"/>
        <v> = 'B28009F_006',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2" t="s">
        <v>10</v>
      </c>
      <c r="B263" s="1"/>
      <c r="C263" s="7" t="s">
        <v>613</v>
      </c>
      <c r="D263" s="9" t="s">
        <v>519</v>
      </c>
      <c r="E263" s="7" t="s">
        <v>1075</v>
      </c>
      <c r="F263" s="3" t="str">
        <f>IFERROR(__xludf.DUMMYFUNCTION("REGEXREPLACE(E263, ""[^A-Za-z0-9]"", """")"),"PresenceofaComputerandTypeofInternetSubscriptioninHouseholdTwoorMoreRaces")</f>
        <v>PresenceofaComputerandTypeofInternetSubscriptioninHouseholdTwoorMoreRaces</v>
      </c>
      <c r="G263" s="7"/>
      <c r="H263" s="7" t="s">
        <v>16</v>
      </c>
      <c r="I263" s="1" t="s">
        <v>1076</v>
      </c>
      <c r="J263" s="7" t="s">
        <v>1077</v>
      </c>
      <c r="K263" s="1"/>
      <c r="L263" s="1" t="s">
        <v>20</v>
      </c>
      <c r="M263" s="1"/>
      <c r="N263" s="1"/>
      <c r="O263" s="1" t="str">
        <f t="shared" si="1"/>
        <v> = 'B28009G_001',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2" t="s">
        <v>10</v>
      </c>
      <c r="B264" s="1"/>
      <c r="C264" s="7" t="s">
        <v>613</v>
      </c>
      <c r="D264" s="9" t="s">
        <v>519</v>
      </c>
      <c r="E264" s="7" t="s">
        <v>1075</v>
      </c>
      <c r="F264" s="3" t="str">
        <f>IFERROR(__xludf.DUMMYFUNCTION("REGEXREPLACE(E264, ""[^A-Za-z0-9]"", """")"),"PresenceofaComputerandTypeofInternetSubscriptioninHouseholdTwoorMoreRaces")</f>
        <v>PresenceofaComputerandTypeofInternetSubscriptioninHouseholdTwoorMoreRaces</v>
      </c>
      <c r="G264" s="7"/>
      <c r="H264" s="7" t="s">
        <v>617</v>
      </c>
      <c r="I264" s="1" t="s">
        <v>1078</v>
      </c>
      <c r="J264" s="7" t="s">
        <v>1079</v>
      </c>
      <c r="K264" s="1"/>
      <c r="L264" s="1" t="s">
        <v>620</v>
      </c>
      <c r="M264" s="1"/>
      <c r="N264" s="1"/>
      <c r="O264" s="1" t="str">
        <f t="shared" si="1"/>
        <v> = 'B28009G_002',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2" t="s">
        <v>10</v>
      </c>
      <c r="B265" s="1"/>
      <c r="C265" s="7" t="s">
        <v>613</v>
      </c>
      <c r="D265" s="9" t="s">
        <v>519</v>
      </c>
      <c r="E265" s="7" t="s">
        <v>1075</v>
      </c>
      <c r="F265" s="3" t="str">
        <f>IFERROR(__xludf.DUMMYFUNCTION("REGEXREPLACE(E265, ""[^A-Za-z0-9]"", """")"),"PresenceofaComputerandTypeofInternetSubscriptioninHouseholdTwoorMoreRaces")</f>
        <v>PresenceofaComputerandTypeofInternetSubscriptioninHouseholdTwoorMoreRaces</v>
      </c>
      <c r="G265" s="7"/>
      <c r="H265" s="7" t="s">
        <v>621</v>
      </c>
      <c r="I265" s="1" t="s">
        <v>1080</v>
      </c>
      <c r="J265" s="7" t="s">
        <v>1081</v>
      </c>
      <c r="K265" s="1"/>
      <c r="L265" s="1" t="s">
        <v>624</v>
      </c>
      <c r="M265" s="1"/>
      <c r="N265" s="1"/>
      <c r="O265" s="1" t="str">
        <f t="shared" si="1"/>
        <v> = 'B28009G_003',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2" t="s">
        <v>10</v>
      </c>
      <c r="B266" s="1"/>
      <c r="C266" s="7" t="s">
        <v>613</v>
      </c>
      <c r="D266" s="9" t="s">
        <v>519</v>
      </c>
      <c r="E266" s="7" t="s">
        <v>1075</v>
      </c>
      <c r="F266" s="3" t="str">
        <f>IFERROR(__xludf.DUMMYFUNCTION("REGEXREPLACE(E266, ""[^A-Za-z0-9]"", """")"),"PresenceofaComputerandTypeofInternetSubscriptioninHouseholdTwoorMoreRaces")</f>
        <v>PresenceofaComputerandTypeofInternetSubscriptioninHouseholdTwoorMoreRaces</v>
      </c>
      <c r="G266" s="7"/>
      <c r="H266" s="7" t="s">
        <v>625</v>
      </c>
      <c r="I266" s="1" t="s">
        <v>1082</v>
      </c>
      <c r="J266" s="7" t="s">
        <v>1083</v>
      </c>
      <c r="K266" s="1"/>
      <c r="L266" s="1" t="s">
        <v>628</v>
      </c>
      <c r="M266" s="1"/>
      <c r="N266" s="1"/>
      <c r="O266" s="1" t="str">
        <f t="shared" si="1"/>
        <v> = 'B28009G_004',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2" t="s">
        <v>10</v>
      </c>
      <c r="B267" s="1"/>
      <c r="C267" s="7" t="s">
        <v>613</v>
      </c>
      <c r="D267" s="9" t="s">
        <v>519</v>
      </c>
      <c r="E267" s="7" t="s">
        <v>1075</v>
      </c>
      <c r="F267" s="3" t="str">
        <f>IFERROR(__xludf.DUMMYFUNCTION("REGEXREPLACE(E267, ""[^A-Za-z0-9]"", """")"),"PresenceofaComputerandTypeofInternetSubscriptioninHouseholdTwoorMoreRaces")</f>
        <v>PresenceofaComputerandTypeofInternetSubscriptioninHouseholdTwoorMoreRaces</v>
      </c>
      <c r="G267" s="7"/>
      <c r="H267" s="7" t="s">
        <v>629</v>
      </c>
      <c r="I267" s="1" t="s">
        <v>1084</v>
      </c>
      <c r="J267" s="7" t="s">
        <v>1085</v>
      </c>
      <c r="K267" s="1"/>
      <c r="L267" s="1" t="s">
        <v>632</v>
      </c>
      <c r="M267" s="1"/>
      <c r="N267" s="1"/>
      <c r="O267" s="1" t="str">
        <f t="shared" si="1"/>
        <v> = 'B28009G_005',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2" t="s">
        <v>10</v>
      </c>
      <c r="B268" s="1"/>
      <c r="C268" s="7" t="s">
        <v>613</v>
      </c>
      <c r="D268" s="9" t="s">
        <v>519</v>
      </c>
      <c r="E268" s="7" t="s">
        <v>1075</v>
      </c>
      <c r="F268" s="3" t="str">
        <f>IFERROR(__xludf.DUMMYFUNCTION("REGEXREPLACE(E268, ""[^A-Za-z0-9]"", """")"),"PresenceofaComputerandTypeofInternetSubscriptioninHouseholdTwoorMoreRaces")</f>
        <v>PresenceofaComputerandTypeofInternetSubscriptioninHouseholdTwoorMoreRaces</v>
      </c>
      <c r="G268" s="7"/>
      <c r="H268" s="7" t="s">
        <v>558</v>
      </c>
      <c r="I268" s="1" t="s">
        <v>1086</v>
      </c>
      <c r="J268" s="7" t="s">
        <v>1087</v>
      </c>
      <c r="K268" s="1"/>
      <c r="L268" s="1" t="s">
        <v>561</v>
      </c>
      <c r="M268" s="1"/>
      <c r="N268" s="1"/>
      <c r="O268" s="1" t="str">
        <f t="shared" si="1"/>
        <v> = 'B28009G_006',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2" t="s">
        <v>10</v>
      </c>
      <c r="B269" s="1"/>
      <c r="C269" s="7" t="s">
        <v>613</v>
      </c>
      <c r="D269" s="9" t="s">
        <v>519</v>
      </c>
      <c r="E269" s="7" t="s">
        <v>1088</v>
      </c>
      <c r="F269" s="3" t="str">
        <f>IFERROR(__xludf.DUMMYFUNCTION("REGEXREPLACE(E269, ""[^A-Za-z0-9]"", """")"),"PresenceofaComputerandTypeofInternetSubscriptioninHouseholdWhiteAloneNotHispanicorLatino")</f>
        <v>PresenceofaComputerandTypeofInternetSubscriptioninHouseholdWhiteAloneNotHispanicorLatino</v>
      </c>
      <c r="G269" s="7"/>
      <c r="H269" s="7" t="s">
        <v>16</v>
      </c>
      <c r="I269" s="1" t="s">
        <v>1089</v>
      </c>
      <c r="J269" s="7" t="s">
        <v>1090</v>
      </c>
      <c r="K269" s="1"/>
      <c r="L269" s="1" t="s">
        <v>20</v>
      </c>
      <c r="M269" s="1"/>
      <c r="N269" s="1"/>
      <c r="O269" s="1" t="str">
        <f t="shared" si="1"/>
        <v> = 'B28009H_001',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2" t="s">
        <v>10</v>
      </c>
      <c r="B270" s="1"/>
      <c r="C270" s="7" t="s">
        <v>613</v>
      </c>
      <c r="D270" s="9" t="s">
        <v>519</v>
      </c>
      <c r="E270" s="7" t="s">
        <v>1088</v>
      </c>
      <c r="F270" s="3" t="str">
        <f>IFERROR(__xludf.DUMMYFUNCTION("REGEXREPLACE(E270, ""[^A-Za-z0-9]"", """")"),"PresenceofaComputerandTypeofInternetSubscriptioninHouseholdWhiteAloneNotHispanicorLatino")</f>
        <v>PresenceofaComputerandTypeofInternetSubscriptioninHouseholdWhiteAloneNotHispanicorLatino</v>
      </c>
      <c r="G270" s="7"/>
      <c r="H270" s="7" t="s">
        <v>617</v>
      </c>
      <c r="I270" s="1" t="s">
        <v>1091</v>
      </c>
      <c r="J270" s="7" t="s">
        <v>1092</v>
      </c>
      <c r="K270" s="1"/>
      <c r="L270" s="1" t="s">
        <v>620</v>
      </c>
      <c r="M270" s="1"/>
      <c r="N270" s="1"/>
      <c r="O270" s="1" t="str">
        <f t="shared" si="1"/>
        <v> = 'B28009H_002',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2" t="s">
        <v>10</v>
      </c>
      <c r="B271" s="1"/>
      <c r="C271" s="7" t="s">
        <v>613</v>
      </c>
      <c r="D271" s="9" t="s">
        <v>519</v>
      </c>
      <c r="E271" s="7" t="s">
        <v>1088</v>
      </c>
      <c r="F271" s="3" t="str">
        <f>IFERROR(__xludf.DUMMYFUNCTION("REGEXREPLACE(E271, ""[^A-Za-z0-9]"", """")"),"PresenceofaComputerandTypeofInternetSubscriptioninHouseholdWhiteAloneNotHispanicorLatino")</f>
        <v>PresenceofaComputerandTypeofInternetSubscriptioninHouseholdWhiteAloneNotHispanicorLatino</v>
      </c>
      <c r="G271" s="7"/>
      <c r="H271" s="7" t="s">
        <v>621</v>
      </c>
      <c r="I271" s="1" t="s">
        <v>1093</v>
      </c>
      <c r="J271" s="7" t="s">
        <v>1094</v>
      </c>
      <c r="K271" s="1"/>
      <c r="L271" s="1" t="s">
        <v>624</v>
      </c>
      <c r="M271" s="1"/>
      <c r="N271" s="1"/>
      <c r="O271" s="1" t="str">
        <f t="shared" si="1"/>
        <v> = 'B28009H_003',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2" t="s">
        <v>10</v>
      </c>
      <c r="B272" s="1"/>
      <c r="C272" s="7" t="s">
        <v>613</v>
      </c>
      <c r="D272" s="9" t="s">
        <v>519</v>
      </c>
      <c r="E272" s="7" t="s">
        <v>1088</v>
      </c>
      <c r="F272" s="3" t="str">
        <f>IFERROR(__xludf.DUMMYFUNCTION("REGEXREPLACE(E272, ""[^A-Za-z0-9]"", """")"),"PresenceofaComputerandTypeofInternetSubscriptioninHouseholdWhiteAloneNotHispanicorLatino")</f>
        <v>PresenceofaComputerandTypeofInternetSubscriptioninHouseholdWhiteAloneNotHispanicorLatino</v>
      </c>
      <c r="G272" s="7"/>
      <c r="H272" s="7" t="s">
        <v>625</v>
      </c>
      <c r="I272" s="1" t="s">
        <v>1095</v>
      </c>
      <c r="J272" s="7" t="s">
        <v>1096</v>
      </c>
      <c r="K272" s="1"/>
      <c r="L272" s="1" t="s">
        <v>628</v>
      </c>
      <c r="M272" s="1"/>
      <c r="N272" s="1"/>
      <c r="O272" s="1" t="str">
        <f t="shared" si="1"/>
        <v> = 'B28009H_004',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2" t="s">
        <v>10</v>
      </c>
      <c r="B273" s="1"/>
      <c r="C273" s="7" t="s">
        <v>613</v>
      </c>
      <c r="D273" s="9" t="s">
        <v>519</v>
      </c>
      <c r="E273" s="7" t="s">
        <v>1088</v>
      </c>
      <c r="F273" s="3" t="str">
        <f>IFERROR(__xludf.DUMMYFUNCTION("REGEXREPLACE(E273, ""[^A-Za-z0-9]"", """")"),"PresenceofaComputerandTypeofInternetSubscriptioninHouseholdWhiteAloneNotHispanicorLatino")</f>
        <v>PresenceofaComputerandTypeofInternetSubscriptioninHouseholdWhiteAloneNotHispanicorLatino</v>
      </c>
      <c r="G273" s="7"/>
      <c r="H273" s="7" t="s">
        <v>629</v>
      </c>
      <c r="I273" s="1" t="s">
        <v>1097</v>
      </c>
      <c r="J273" s="7" t="s">
        <v>1098</v>
      </c>
      <c r="K273" s="1"/>
      <c r="L273" s="1" t="s">
        <v>632</v>
      </c>
      <c r="M273" s="1"/>
      <c r="N273" s="1"/>
      <c r="O273" s="1" t="str">
        <f t="shared" si="1"/>
        <v> = 'B28009H_005',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2" t="s">
        <v>10</v>
      </c>
      <c r="B274" s="1"/>
      <c r="C274" s="7" t="s">
        <v>613</v>
      </c>
      <c r="D274" s="9" t="s">
        <v>519</v>
      </c>
      <c r="E274" s="7" t="s">
        <v>1088</v>
      </c>
      <c r="F274" s="3" t="str">
        <f>IFERROR(__xludf.DUMMYFUNCTION("REGEXREPLACE(E274, ""[^A-Za-z0-9]"", """")"),"PresenceofaComputerandTypeofInternetSubscriptioninHouseholdWhiteAloneNotHispanicorLatino")</f>
        <v>PresenceofaComputerandTypeofInternetSubscriptioninHouseholdWhiteAloneNotHispanicorLatino</v>
      </c>
      <c r="G274" s="7"/>
      <c r="H274" s="7" t="s">
        <v>558</v>
      </c>
      <c r="I274" s="1" t="s">
        <v>1099</v>
      </c>
      <c r="J274" s="7" t="s">
        <v>1100</v>
      </c>
      <c r="K274" s="1"/>
      <c r="L274" s="1" t="s">
        <v>561</v>
      </c>
      <c r="M274" s="1"/>
      <c r="N274" s="1"/>
      <c r="O274" s="1" t="str">
        <f t="shared" si="1"/>
        <v> = 'B28009H_006',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2" t="s">
        <v>10</v>
      </c>
      <c r="B275" s="1"/>
      <c r="C275" s="7" t="s">
        <v>613</v>
      </c>
      <c r="D275" s="9" t="s">
        <v>519</v>
      </c>
      <c r="E275" s="7" t="s">
        <v>1101</v>
      </c>
      <c r="F275" s="3" t="str">
        <f>IFERROR(__xludf.DUMMYFUNCTION("REGEXREPLACE(E275, ""[^A-Za-z0-9]"", """")"),"PresenceofaComputerandTypeofInternetSubscriptioninHouseholdHispanicorLatino")</f>
        <v>PresenceofaComputerandTypeofInternetSubscriptioninHouseholdHispanicorLatino</v>
      </c>
      <c r="G275" s="7"/>
      <c r="H275" s="7" t="s">
        <v>16</v>
      </c>
      <c r="I275" s="1" t="s">
        <v>1102</v>
      </c>
      <c r="J275" s="7" t="s">
        <v>1103</v>
      </c>
      <c r="K275" s="1"/>
      <c r="L275" s="1" t="s">
        <v>20</v>
      </c>
      <c r="M275" s="1"/>
      <c r="N275" s="1"/>
      <c r="O275" s="1" t="str">
        <f t="shared" si="1"/>
        <v> = 'B28009I_001',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2" t="s">
        <v>10</v>
      </c>
      <c r="B276" s="1"/>
      <c r="C276" s="7" t="s">
        <v>613</v>
      </c>
      <c r="D276" s="9" t="s">
        <v>519</v>
      </c>
      <c r="E276" s="7" t="s">
        <v>1101</v>
      </c>
      <c r="F276" s="3" t="str">
        <f>IFERROR(__xludf.DUMMYFUNCTION("REGEXREPLACE(E276, ""[^A-Za-z0-9]"", """")"),"PresenceofaComputerandTypeofInternetSubscriptioninHouseholdHispanicorLatino")</f>
        <v>PresenceofaComputerandTypeofInternetSubscriptioninHouseholdHispanicorLatino</v>
      </c>
      <c r="G276" s="7"/>
      <c r="H276" s="7" t="s">
        <v>617</v>
      </c>
      <c r="I276" s="1" t="s">
        <v>1104</v>
      </c>
      <c r="J276" s="7" t="s">
        <v>1105</v>
      </c>
      <c r="K276" s="1"/>
      <c r="L276" s="1" t="s">
        <v>620</v>
      </c>
      <c r="M276" s="1"/>
      <c r="N276" s="1"/>
      <c r="O276" s="1" t="str">
        <f t="shared" si="1"/>
        <v> = 'B28009I_002',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2" t="s">
        <v>10</v>
      </c>
      <c r="B277" s="1"/>
      <c r="C277" s="7" t="s">
        <v>613</v>
      </c>
      <c r="D277" s="9" t="s">
        <v>519</v>
      </c>
      <c r="E277" s="7" t="s">
        <v>1101</v>
      </c>
      <c r="F277" s="3" t="str">
        <f>IFERROR(__xludf.DUMMYFUNCTION("REGEXREPLACE(E277, ""[^A-Za-z0-9]"", """")"),"PresenceofaComputerandTypeofInternetSubscriptioninHouseholdHispanicorLatino")</f>
        <v>PresenceofaComputerandTypeofInternetSubscriptioninHouseholdHispanicorLatino</v>
      </c>
      <c r="G277" s="7"/>
      <c r="H277" s="7" t="s">
        <v>621</v>
      </c>
      <c r="I277" s="1" t="s">
        <v>1106</v>
      </c>
      <c r="J277" s="7" t="s">
        <v>1107</v>
      </c>
      <c r="K277" s="1"/>
      <c r="L277" s="1" t="s">
        <v>624</v>
      </c>
      <c r="M277" s="1"/>
      <c r="N277" s="1"/>
      <c r="O277" s="1" t="str">
        <f t="shared" si="1"/>
        <v> = 'B28009I_003',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2" t="s">
        <v>10</v>
      </c>
      <c r="B278" s="1"/>
      <c r="C278" s="7" t="s">
        <v>613</v>
      </c>
      <c r="D278" s="9" t="s">
        <v>519</v>
      </c>
      <c r="E278" s="7" t="s">
        <v>1101</v>
      </c>
      <c r="F278" s="3" t="str">
        <f>IFERROR(__xludf.DUMMYFUNCTION("REGEXREPLACE(E278, ""[^A-Za-z0-9]"", """")"),"PresenceofaComputerandTypeofInternetSubscriptioninHouseholdHispanicorLatino")</f>
        <v>PresenceofaComputerandTypeofInternetSubscriptioninHouseholdHispanicorLatino</v>
      </c>
      <c r="G278" s="7"/>
      <c r="H278" s="7" t="s">
        <v>625</v>
      </c>
      <c r="I278" s="1" t="s">
        <v>1108</v>
      </c>
      <c r="J278" s="7" t="s">
        <v>1109</v>
      </c>
      <c r="K278" s="1"/>
      <c r="L278" s="1" t="s">
        <v>628</v>
      </c>
      <c r="M278" s="1"/>
      <c r="N278" s="1"/>
      <c r="O278" s="1" t="str">
        <f t="shared" si="1"/>
        <v> = 'B28009I_004',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2" t="s">
        <v>10</v>
      </c>
      <c r="B279" s="1"/>
      <c r="C279" s="7" t="s">
        <v>613</v>
      </c>
      <c r="D279" s="9" t="s">
        <v>519</v>
      </c>
      <c r="E279" s="7" t="s">
        <v>1101</v>
      </c>
      <c r="F279" s="3" t="str">
        <f>IFERROR(__xludf.DUMMYFUNCTION("REGEXREPLACE(E279, ""[^A-Za-z0-9]"", """")"),"PresenceofaComputerandTypeofInternetSubscriptioninHouseholdHispanicorLatino")</f>
        <v>PresenceofaComputerandTypeofInternetSubscriptioninHouseholdHispanicorLatino</v>
      </c>
      <c r="G279" s="7"/>
      <c r="H279" s="7" t="s">
        <v>629</v>
      </c>
      <c r="I279" s="1" t="s">
        <v>1110</v>
      </c>
      <c r="J279" s="7" t="s">
        <v>1111</v>
      </c>
      <c r="K279" s="1"/>
      <c r="L279" s="1" t="s">
        <v>632</v>
      </c>
      <c r="M279" s="1"/>
      <c r="N279" s="1"/>
      <c r="O279" s="1" t="str">
        <f t="shared" si="1"/>
        <v> = 'B28009I_005',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2" t="s">
        <v>10</v>
      </c>
      <c r="B280" s="1"/>
      <c r="C280" s="7" t="s">
        <v>613</v>
      </c>
      <c r="D280" s="9" t="s">
        <v>519</v>
      </c>
      <c r="E280" s="7" t="s">
        <v>1101</v>
      </c>
      <c r="F280" s="3" t="str">
        <f>IFERROR(__xludf.DUMMYFUNCTION("REGEXREPLACE(E280, ""[^A-Za-z0-9]"", """")"),"PresenceofaComputerandTypeofInternetSubscriptioninHouseholdHispanicorLatino")</f>
        <v>PresenceofaComputerandTypeofInternetSubscriptioninHouseholdHispanicorLatino</v>
      </c>
      <c r="G280" s="7"/>
      <c r="H280" s="7" t="s">
        <v>558</v>
      </c>
      <c r="I280" s="1" t="s">
        <v>1112</v>
      </c>
      <c r="J280" s="7" t="s">
        <v>1113</v>
      </c>
      <c r="K280" s="1"/>
      <c r="L280" s="1" t="s">
        <v>561</v>
      </c>
      <c r="M280" s="1"/>
      <c r="N280" s="1"/>
      <c r="O280" s="1" t="str">
        <f t="shared" si="1"/>
        <v> = 'B28009I_006',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2" t="s">
        <v>10</v>
      </c>
      <c r="B281" s="1"/>
      <c r="C281" s="7" t="s">
        <v>613</v>
      </c>
      <c r="D281" s="9" t="s">
        <v>519</v>
      </c>
      <c r="E281" s="7" t="s">
        <v>1114</v>
      </c>
      <c r="F281" s="3" t="str">
        <f>IFERROR(__xludf.DUMMYFUNCTION("REGEXREPLACE(E281, ""[^A-Za-z0-9]"", """")"),"ComputersinHousehold")</f>
        <v>ComputersinHousehold</v>
      </c>
      <c r="G281" s="7"/>
      <c r="H281" s="7" t="s">
        <v>16</v>
      </c>
      <c r="I281" s="1" t="s">
        <v>1115</v>
      </c>
      <c r="J281" s="7" t="s">
        <v>1116</v>
      </c>
      <c r="K281" s="1"/>
      <c r="L281" s="1" t="s">
        <v>20</v>
      </c>
      <c r="M281" s="1"/>
      <c r="N281" s="1"/>
      <c r="O281" s="1" t="str">
        <f t="shared" si="1"/>
        <v> = 'B28010_001',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2" t="s">
        <v>10</v>
      </c>
      <c r="B282" s="1"/>
      <c r="C282" s="7" t="s">
        <v>613</v>
      </c>
      <c r="D282" s="9" t="s">
        <v>519</v>
      </c>
      <c r="E282" s="7" t="s">
        <v>1114</v>
      </c>
      <c r="F282" s="3" t="str">
        <f>IFERROR(__xludf.DUMMYFUNCTION("REGEXREPLACE(E282, ""[^A-Za-z0-9]"", """")"),"ComputersinHousehold")</f>
        <v>ComputersinHousehold</v>
      </c>
      <c r="G282" s="7"/>
      <c r="H282" s="7" t="s">
        <v>522</v>
      </c>
      <c r="I282" s="1" t="s">
        <v>1117</v>
      </c>
      <c r="J282" s="7" t="s">
        <v>1118</v>
      </c>
      <c r="K282" s="1"/>
      <c r="L282" s="1" t="s">
        <v>525</v>
      </c>
      <c r="M282" s="1"/>
      <c r="N282" s="1"/>
      <c r="O282" s="1" t="str">
        <f t="shared" si="1"/>
        <v> = 'B28010_002',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2" t="s">
        <v>10</v>
      </c>
      <c r="B283" s="1"/>
      <c r="C283" s="7" t="s">
        <v>613</v>
      </c>
      <c r="D283" s="9" t="s">
        <v>519</v>
      </c>
      <c r="E283" s="7" t="s">
        <v>1114</v>
      </c>
      <c r="F283" s="3" t="str">
        <f>IFERROR(__xludf.DUMMYFUNCTION("REGEXREPLACE(E283, ""[^A-Za-z0-9]"", """")"),"ComputersinHousehold")</f>
        <v>ComputersinHousehold</v>
      </c>
      <c r="G283" s="7"/>
      <c r="H283" s="7" t="s">
        <v>526</v>
      </c>
      <c r="I283" s="1" t="s">
        <v>1119</v>
      </c>
      <c r="J283" s="7" t="s">
        <v>1120</v>
      </c>
      <c r="K283" s="1"/>
      <c r="L283" s="1" t="s">
        <v>529</v>
      </c>
      <c r="M283" s="1"/>
      <c r="N283" s="1"/>
      <c r="O283" s="1" t="str">
        <f t="shared" si="1"/>
        <v> = 'B28010_003',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2" t="s">
        <v>10</v>
      </c>
      <c r="B284" s="1"/>
      <c r="C284" s="7" t="s">
        <v>613</v>
      </c>
      <c r="D284" s="9" t="s">
        <v>519</v>
      </c>
      <c r="E284" s="7" t="s">
        <v>1114</v>
      </c>
      <c r="F284" s="3" t="str">
        <f>IFERROR(__xludf.DUMMYFUNCTION("REGEXREPLACE(E284, ""[^A-Za-z0-9]"", """")"),"ComputersinHousehold")</f>
        <v>ComputersinHousehold</v>
      </c>
      <c r="G284" s="7"/>
      <c r="H284" s="7" t="s">
        <v>1121</v>
      </c>
      <c r="I284" s="1" t="s">
        <v>1122</v>
      </c>
      <c r="J284" s="7" t="s">
        <v>1123</v>
      </c>
      <c r="K284" s="1"/>
      <c r="L284" s="1" t="s">
        <v>1124</v>
      </c>
      <c r="M284" s="1"/>
      <c r="N284" s="1"/>
      <c r="O284" s="1" t="str">
        <f t="shared" si="1"/>
        <v> = 'B28010_004',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2" t="s">
        <v>10</v>
      </c>
      <c r="B285" s="1"/>
      <c r="C285" s="7" t="s">
        <v>613</v>
      </c>
      <c r="D285" s="9" t="s">
        <v>519</v>
      </c>
      <c r="E285" s="7" t="s">
        <v>1114</v>
      </c>
      <c r="F285" s="3" t="str">
        <f>IFERROR(__xludf.DUMMYFUNCTION("REGEXREPLACE(E285, ""[^A-Za-z0-9]"", """")"),"ComputersinHousehold")</f>
        <v>ComputersinHousehold</v>
      </c>
      <c r="G285" s="7"/>
      <c r="H285" s="7" t="s">
        <v>1125</v>
      </c>
      <c r="I285" s="1" t="s">
        <v>1126</v>
      </c>
      <c r="J285" s="7" t="s">
        <v>1127</v>
      </c>
      <c r="K285" s="1"/>
      <c r="L285" s="1" t="s">
        <v>1128</v>
      </c>
      <c r="M285" s="1"/>
      <c r="N285" s="1"/>
      <c r="O285" s="1" t="str">
        <f t="shared" si="1"/>
        <v> = 'B28010_005',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2" t="s">
        <v>10</v>
      </c>
      <c r="B286" s="1"/>
      <c r="C286" s="7" t="s">
        <v>613</v>
      </c>
      <c r="D286" s="9" t="s">
        <v>519</v>
      </c>
      <c r="E286" s="7" t="s">
        <v>1114</v>
      </c>
      <c r="F286" s="3" t="str">
        <f>IFERROR(__xludf.DUMMYFUNCTION("REGEXREPLACE(E286, ""[^A-Za-z0-9]"", """")"),"ComputersinHousehold")</f>
        <v>ComputersinHousehold</v>
      </c>
      <c r="G286" s="7"/>
      <c r="H286" s="7" t="s">
        <v>1129</v>
      </c>
      <c r="I286" s="1" t="s">
        <v>1130</v>
      </c>
      <c r="J286" s="7" t="s">
        <v>1131</v>
      </c>
      <c r="K286" s="1"/>
      <c r="L286" s="1" t="s">
        <v>1132</v>
      </c>
      <c r="M286" s="1"/>
      <c r="N286" s="1"/>
      <c r="O286" s="1" t="str">
        <f t="shared" si="1"/>
        <v> = 'B28010_006',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2" t="s">
        <v>10</v>
      </c>
      <c r="B287" s="1"/>
      <c r="C287" s="7" t="s">
        <v>613</v>
      </c>
      <c r="D287" s="9" t="s">
        <v>519</v>
      </c>
      <c r="E287" s="7" t="s">
        <v>1114</v>
      </c>
      <c r="F287" s="3" t="str">
        <f>IFERROR(__xludf.DUMMYFUNCTION("REGEXREPLACE(E287, ""[^A-Za-z0-9]"", """")"),"ComputersinHousehold")</f>
        <v>ComputersinHousehold</v>
      </c>
      <c r="G287" s="7"/>
      <c r="H287" s="7" t="s">
        <v>558</v>
      </c>
      <c r="I287" s="1" t="s">
        <v>1133</v>
      </c>
      <c r="J287" s="7" t="s">
        <v>1134</v>
      </c>
      <c r="K287" s="1"/>
      <c r="L287" s="1" t="s">
        <v>561</v>
      </c>
      <c r="M287" s="1"/>
      <c r="N287" s="1"/>
      <c r="O287" s="1" t="str">
        <f t="shared" si="1"/>
        <v> = 'B28010_007',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2" t="s">
        <v>10</v>
      </c>
      <c r="B288" s="1"/>
      <c r="C288" s="7" t="s">
        <v>613</v>
      </c>
      <c r="D288" s="9" t="s">
        <v>519</v>
      </c>
      <c r="E288" s="7" t="s">
        <v>1135</v>
      </c>
      <c r="F288" s="3" t="str">
        <f>IFERROR(__xludf.DUMMYFUNCTION("REGEXREPLACE(E288, ""[^A-Za-z0-9]"", """")"),"InternetSubscriptionsinHousehold")</f>
        <v>InternetSubscriptionsinHousehold</v>
      </c>
      <c r="G288" s="7"/>
      <c r="H288" s="7" t="s">
        <v>16</v>
      </c>
      <c r="I288" s="1" t="s">
        <v>1136</v>
      </c>
      <c r="J288" s="7" t="s">
        <v>1137</v>
      </c>
      <c r="K288" s="1"/>
      <c r="L288" s="1" t="s">
        <v>20</v>
      </c>
      <c r="M288" s="1"/>
      <c r="N288" s="1"/>
      <c r="O288" s="1" t="str">
        <f t="shared" si="1"/>
        <v> = 'B28011_001',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2" t="s">
        <v>10</v>
      </c>
      <c r="B289" s="1"/>
      <c r="C289" s="7" t="s">
        <v>613</v>
      </c>
      <c r="D289" s="9" t="s">
        <v>519</v>
      </c>
      <c r="E289" s="7" t="s">
        <v>1135</v>
      </c>
      <c r="F289" s="3" t="str">
        <f>IFERROR(__xludf.DUMMYFUNCTION("REGEXREPLACE(E289, ""[^A-Za-z0-9]"", """")"),"InternetSubscriptionsinHousehold")</f>
        <v>InternetSubscriptionsinHousehold</v>
      </c>
      <c r="G289" s="7"/>
      <c r="H289" s="7" t="s">
        <v>565</v>
      </c>
      <c r="I289" s="1" t="s">
        <v>1138</v>
      </c>
      <c r="J289" s="7" t="s">
        <v>1139</v>
      </c>
      <c r="K289" s="1"/>
      <c r="L289" s="1" t="s">
        <v>568</v>
      </c>
      <c r="M289" s="1"/>
      <c r="N289" s="1"/>
      <c r="O289" s="1" t="str">
        <f t="shared" si="1"/>
        <v> = 'B28011_002',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2" t="s">
        <v>10</v>
      </c>
      <c r="B290" s="1"/>
      <c r="C290" s="7" t="s">
        <v>613</v>
      </c>
      <c r="D290" s="9" t="s">
        <v>519</v>
      </c>
      <c r="E290" s="7" t="s">
        <v>1135</v>
      </c>
      <c r="F290" s="3" t="str">
        <f>IFERROR(__xludf.DUMMYFUNCTION("REGEXREPLACE(E290, ""[^A-Za-z0-9]"", """")"),"InternetSubscriptionsinHousehold")</f>
        <v>InternetSubscriptionsinHousehold</v>
      </c>
      <c r="G290" s="7"/>
      <c r="H290" s="7" t="s">
        <v>1140</v>
      </c>
      <c r="I290" s="1" t="s">
        <v>1141</v>
      </c>
      <c r="J290" s="7" t="s">
        <v>1142</v>
      </c>
      <c r="K290" s="1"/>
      <c r="L290" s="1" t="s">
        <v>1143</v>
      </c>
      <c r="M290" s="1"/>
      <c r="N290" s="1"/>
      <c r="O290" s="1" t="str">
        <f t="shared" si="1"/>
        <v> = 'B28011_003',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2" t="s">
        <v>10</v>
      </c>
      <c r="B291" s="1"/>
      <c r="C291" s="7" t="s">
        <v>613</v>
      </c>
      <c r="D291" s="9" t="s">
        <v>519</v>
      </c>
      <c r="E291" s="7" t="s">
        <v>1135</v>
      </c>
      <c r="F291" s="3" t="str">
        <f>IFERROR(__xludf.DUMMYFUNCTION("REGEXREPLACE(E291, ""[^A-Za-z0-9]"", """")"),"InternetSubscriptionsinHousehold")</f>
        <v>InternetSubscriptionsinHousehold</v>
      </c>
      <c r="G291" s="7"/>
      <c r="H291" s="7" t="s">
        <v>1144</v>
      </c>
      <c r="I291" s="1" t="s">
        <v>1145</v>
      </c>
      <c r="J291" s="7" t="s">
        <v>1146</v>
      </c>
      <c r="K291" s="1"/>
      <c r="L291" s="1" t="s">
        <v>1147</v>
      </c>
      <c r="M291" s="1"/>
      <c r="N291" s="1"/>
      <c r="O291" s="1" t="str">
        <f t="shared" si="1"/>
        <v> = 'B28011_004',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2" t="s">
        <v>10</v>
      </c>
      <c r="B292" s="1"/>
      <c r="C292" s="7" t="s">
        <v>613</v>
      </c>
      <c r="D292" s="9" t="s">
        <v>519</v>
      </c>
      <c r="E292" s="7" t="s">
        <v>1135</v>
      </c>
      <c r="F292" s="3" t="str">
        <f>IFERROR(__xludf.DUMMYFUNCTION("REGEXREPLACE(E292, ""[^A-Za-z0-9]"", """")"),"InternetSubscriptionsinHousehold")</f>
        <v>InternetSubscriptionsinHousehold</v>
      </c>
      <c r="G292" s="7"/>
      <c r="H292" s="7" t="s">
        <v>593</v>
      </c>
      <c r="I292" s="1" t="s">
        <v>1148</v>
      </c>
      <c r="J292" s="7" t="s">
        <v>1149</v>
      </c>
      <c r="K292" s="1"/>
      <c r="L292" s="1" t="s">
        <v>596</v>
      </c>
      <c r="M292" s="1"/>
      <c r="N292" s="1"/>
      <c r="O292" s="1" t="str">
        <f t="shared" si="1"/>
        <v> = 'B28011_005',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2" t="s">
        <v>10</v>
      </c>
      <c r="B293" s="1"/>
      <c r="C293" s="7" t="s">
        <v>613</v>
      </c>
      <c r="D293" s="9" t="s">
        <v>519</v>
      </c>
      <c r="E293" s="7" t="s">
        <v>1135</v>
      </c>
      <c r="F293" s="3" t="str">
        <f>IFERROR(__xludf.DUMMYFUNCTION("REGEXREPLACE(E293, ""[^A-Za-z0-9]"", """")"),"InternetSubscriptionsinHousehold")</f>
        <v>InternetSubscriptionsinHousehold</v>
      </c>
      <c r="G293" s="7"/>
      <c r="H293" s="7" t="s">
        <v>1150</v>
      </c>
      <c r="I293" s="1" t="s">
        <v>1151</v>
      </c>
      <c r="J293" s="7" t="s">
        <v>1152</v>
      </c>
      <c r="K293" s="1"/>
      <c r="L293" s="1" t="s">
        <v>1153</v>
      </c>
      <c r="M293" s="1"/>
      <c r="N293" s="1"/>
      <c r="O293" s="1" t="str">
        <f t="shared" si="1"/>
        <v> = 'B28011_006',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2" t="s">
        <v>10</v>
      </c>
      <c r="B294" s="1"/>
      <c r="C294" s="7" t="s">
        <v>613</v>
      </c>
      <c r="D294" s="9" t="s">
        <v>519</v>
      </c>
      <c r="E294" s="7" t="s">
        <v>1135</v>
      </c>
      <c r="F294" s="3" t="str">
        <f>IFERROR(__xludf.DUMMYFUNCTION("REGEXREPLACE(E294, ""[^A-Za-z0-9]"", """")"),"InternetSubscriptionsinHousehold")</f>
        <v>InternetSubscriptionsinHousehold</v>
      </c>
      <c r="G294" s="7"/>
      <c r="H294" s="7" t="s">
        <v>605</v>
      </c>
      <c r="I294" s="1" t="s">
        <v>1154</v>
      </c>
      <c r="J294" s="7" t="s">
        <v>1155</v>
      </c>
      <c r="K294" s="1"/>
      <c r="L294" s="1" t="s">
        <v>608</v>
      </c>
      <c r="M294" s="1"/>
      <c r="N294" s="1"/>
      <c r="O294" s="1" t="str">
        <f t="shared" si="1"/>
        <v> = 'B28011_007',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2" t="s">
        <v>10</v>
      </c>
      <c r="B295" s="1"/>
      <c r="C295" s="7" t="s">
        <v>613</v>
      </c>
      <c r="D295" s="9" t="s">
        <v>519</v>
      </c>
      <c r="E295" s="7" t="s">
        <v>1135</v>
      </c>
      <c r="F295" s="3" t="str">
        <f>IFERROR(__xludf.DUMMYFUNCTION("REGEXREPLACE(E295, ""[^A-Za-z0-9]"", """")"),"InternetSubscriptionsinHousehold")</f>
        <v>InternetSubscriptionsinHousehold</v>
      </c>
      <c r="G295" s="7"/>
      <c r="H295" s="7" t="s">
        <v>609</v>
      </c>
      <c r="I295" s="1" t="s">
        <v>1156</v>
      </c>
      <c r="J295" s="7" t="s">
        <v>1157</v>
      </c>
      <c r="K295" s="1"/>
      <c r="L295" s="1" t="s">
        <v>612</v>
      </c>
      <c r="M295" s="1"/>
      <c r="N295" s="1"/>
      <c r="O295" s="1" t="str">
        <f t="shared" si="1"/>
        <v> = 'B28011_008',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2" t="s">
        <v>10</v>
      </c>
      <c r="B296" s="1"/>
      <c r="C296" s="7" t="s">
        <v>1158</v>
      </c>
      <c r="D296" s="7" t="s">
        <v>1159</v>
      </c>
      <c r="E296" s="7" t="s">
        <v>1160</v>
      </c>
      <c r="F296" s="3" t="str">
        <f>IFERROR(__xludf.DUMMYFUNCTION("REGEXREPLACE(E296, ""[^A-Za-z0-9]"", """")"),"SexbyAgeSomeOtherRaceAlone")</f>
        <v>SexbyAgeSomeOtherRaceAlone</v>
      </c>
      <c r="G296" s="7"/>
      <c r="H296" s="7" t="s">
        <v>1161</v>
      </c>
      <c r="I296" s="1" t="s">
        <v>1162</v>
      </c>
      <c r="J296" s="7" t="s">
        <v>1163</v>
      </c>
      <c r="K296" s="1"/>
      <c r="L296" s="1" t="s">
        <v>1164</v>
      </c>
      <c r="M296" s="1"/>
      <c r="N296" s="1"/>
      <c r="O296" s="1" t="str">
        <f t="shared" si="1"/>
        <v> = 'B01001F_014',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2" t="s">
        <v>10</v>
      </c>
      <c r="B297" s="1"/>
      <c r="C297" s="7" t="s">
        <v>1158</v>
      </c>
      <c r="D297" s="7" t="s">
        <v>1159</v>
      </c>
      <c r="E297" s="7" t="s">
        <v>1160</v>
      </c>
      <c r="F297" s="3" t="str">
        <f>IFERROR(__xludf.DUMMYFUNCTION("REGEXREPLACE(E297, ""[^A-Za-z0-9]"", """")"),"SexbyAgeSomeOtherRaceAlone")</f>
        <v>SexbyAgeSomeOtherRaceAlone</v>
      </c>
      <c r="G297" s="7"/>
      <c r="H297" s="7" t="s">
        <v>1165</v>
      </c>
      <c r="I297" s="1" t="s">
        <v>1166</v>
      </c>
      <c r="J297" s="7" t="s">
        <v>1167</v>
      </c>
      <c r="K297" s="1"/>
      <c r="L297" s="1" t="s">
        <v>1168</v>
      </c>
      <c r="M297" s="1"/>
      <c r="N297" s="1"/>
      <c r="O297" s="1" t="str">
        <f t="shared" si="1"/>
        <v> = 'B01001F_015',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2" t="s">
        <v>10</v>
      </c>
      <c r="B298" s="1"/>
      <c r="C298" s="7" t="s">
        <v>1158</v>
      </c>
      <c r="D298" s="7" t="s">
        <v>1159</v>
      </c>
      <c r="E298" s="7" t="s">
        <v>1160</v>
      </c>
      <c r="F298" s="3" t="str">
        <f>IFERROR(__xludf.DUMMYFUNCTION("REGEXREPLACE(E298, ""[^A-Za-z0-9]"", """")"),"SexbyAgeSomeOtherRaceAlone")</f>
        <v>SexbyAgeSomeOtherRaceAlone</v>
      </c>
      <c r="G298" s="7"/>
      <c r="H298" s="7" t="s">
        <v>1169</v>
      </c>
      <c r="I298" s="1" t="s">
        <v>1170</v>
      </c>
      <c r="J298" s="7" t="s">
        <v>1171</v>
      </c>
      <c r="K298" s="1"/>
      <c r="L298" s="1" t="s">
        <v>1172</v>
      </c>
      <c r="M298" s="1"/>
      <c r="N298" s="1"/>
      <c r="O298" s="1" t="str">
        <f t="shared" si="1"/>
        <v> = 'B01001F_016',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2" t="s">
        <v>10</v>
      </c>
      <c r="B299" s="1"/>
      <c r="C299" s="7" t="s">
        <v>1158</v>
      </c>
      <c r="D299" s="7" t="s">
        <v>1159</v>
      </c>
      <c r="E299" s="7" t="s">
        <v>1160</v>
      </c>
      <c r="F299" s="3" t="str">
        <f>IFERROR(__xludf.DUMMYFUNCTION("REGEXREPLACE(E299, ""[^A-Za-z0-9]"", """")"),"SexbyAgeSomeOtherRaceAlone")</f>
        <v>SexbyAgeSomeOtherRaceAlone</v>
      </c>
      <c r="G299" s="7"/>
      <c r="H299" s="7" t="s">
        <v>452</v>
      </c>
      <c r="I299" s="1" t="s">
        <v>1173</v>
      </c>
      <c r="J299" s="7" t="s">
        <v>1174</v>
      </c>
      <c r="K299" s="1"/>
      <c r="L299" s="1" t="s">
        <v>455</v>
      </c>
      <c r="M299" s="1"/>
      <c r="N299" s="1"/>
      <c r="O299" s="1" t="str">
        <f t="shared" si="1"/>
        <v> = 'B01001F_017',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2" t="s">
        <v>10</v>
      </c>
      <c r="B300" s="1"/>
      <c r="C300" s="7" t="s">
        <v>1158</v>
      </c>
      <c r="D300" s="7" t="s">
        <v>1159</v>
      </c>
      <c r="E300" s="7" t="s">
        <v>1160</v>
      </c>
      <c r="F300" s="3" t="str">
        <f>IFERROR(__xludf.DUMMYFUNCTION("REGEXREPLACE(E300, ""[^A-Za-z0-9]"", """")"),"SexbyAgeSomeOtherRaceAlone")</f>
        <v>SexbyAgeSomeOtherRaceAlone</v>
      </c>
      <c r="G300" s="7"/>
      <c r="H300" s="7" t="s">
        <v>1175</v>
      </c>
      <c r="I300" s="1" t="s">
        <v>1176</v>
      </c>
      <c r="J300" s="7" t="s">
        <v>1177</v>
      </c>
      <c r="K300" s="1"/>
      <c r="L300" s="1" t="s">
        <v>1178</v>
      </c>
      <c r="M300" s="1"/>
      <c r="N300" s="1"/>
      <c r="O300" s="1" t="str">
        <f t="shared" si="1"/>
        <v> = 'B01001F_018',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2" t="s">
        <v>10</v>
      </c>
      <c r="B301" s="1"/>
      <c r="C301" s="7" t="s">
        <v>1158</v>
      </c>
      <c r="D301" s="7" t="s">
        <v>1159</v>
      </c>
      <c r="E301" s="7" t="s">
        <v>1160</v>
      </c>
      <c r="F301" s="3" t="str">
        <f>IFERROR(__xludf.DUMMYFUNCTION("REGEXREPLACE(E301, ""[^A-Za-z0-9]"", """")"),"SexbyAgeSomeOtherRaceAlone")</f>
        <v>SexbyAgeSomeOtherRaceAlone</v>
      </c>
      <c r="G301" s="7"/>
      <c r="H301" s="7" t="s">
        <v>1179</v>
      </c>
      <c r="I301" s="1" t="s">
        <v>1180</v>
      </c>
      <c r="J301" s="7" t="s">
        <v>1181</v>
      </c>
      <c r="K301" s="1"/>
      <c r="L301" s="1" t="s">
        <v>1182</v>
      </c>
      <c r="M301" s="1"/>
      <c r="N301" s="1"/>
      <c r="O301" s="1" t="str">
        <f t="shared" si="1"/>
        <v> = 'B01001F_019',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2" t="s">
        <v>10</v>
      </c>
      <c r="B302" s="1"/>
      <c r="C302" s="7" t="s">
        <v>1158</v>
      </c>
      <c r="D302" s="7" t="s">
        <v>1159</v>
      </c>
      <c r="E302" s="7" t="s">
        <v>1160</v>
      </c>
      <c r="F302" s="3" t="str">
        <f>IFERROR(__xludf.DUMMYFUNCTION("REGEXREPLACE(E302, ""[^A-Za-z0-9]"", """")"),"SexbyAgeSomeOtherRaceAlone")</f>
        <v>SexbyAgeSomeOtherRaceAlone</v>
      </c>
      <c r="G302" s="7"/>
      <c r="H302" s="7" t="s">
        <v>1183</v>
      </c>
      <c r="I302" s="1" t="s">
        <v>1184</v>
      </c>
      <c r="J302" s="7" t="s">
        <v>1185</v>
      </c>
      <c r="K302" s="1"/>
      <c r="L302" s="1" t="s">
        <v>1186</v>
      </c>
      <c r="M302" s="1"/>
      <c r="N302" s="1"/>
      <c r="O302" s="1" t="str">
        <f t="shared" si="1"/>
        <v> = 'B01001F_020',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2" t="s">
        <v>10</v>
      </c>
      <c r="B303" s="1"/>
      <c r="C303" s="7" t="s">
        <v>1158</v>
      </c>
      <c r="D303" s="7" t="s">
        <v>1159</v>
      </c>
      <c r="E303" s="7" t="s">
        <v>1160</v>
      </c>
      <c r="F303" s="3" t="str">
        <f>IFERROR(__xludf.DUMMYFUNCTION("REGEXREPLACE(E303, ""[^A-Za-z0-9]"", """")"),"SexbyAgeSomeOtherRaceAlone")</f>
        <v>SexbyAgeSomeOtherRaceAlone</v>
      </c>
      <c r="G303" s="7"/>
      <c r="H303" s="7" t="s">
        <v>1187</v>
      </c>
      <c r="I303" s="1" t="s">
        <v>1188</v>
      </c>
      <c r="J303" s="7" t="s">
        <v>1189</v>
      </c>
      <c r="K303" s="1"/>
      <c r="L303" s="1" t="s">
        <v>1190</v>
      </c>
      <c r="M303" s="1"/>
      <c r="N303" s="1"/>
      <c r="O303" s="1" t="str">
        <f t="shared" si="1"/>
        <v> = 'B01001F_021',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2" t="s">
        <v>10</v>
      </c>
      <c r="B304" s="1"/>
      <c r="C304" s="7" t="s">
        <v>1158</v>
      </c>
      <c r="D304" s="7" t="s">
        <v>1159</v>
      </c>
      <c r="E304" s="7" t="s">
        <v>1160</v>
      </c>
      <c r="F304" s="3" t="str">
        <f>IFERROR(__xludf.DUMMYFUNCTION("REGEXREPLACE(E304, ""[^A-Za-z0-9]"", """")"),"SexbyAgeSomeOtherRaceAlone")</f>
        <v>SexbyAgeSomeOtherRaceAlone</v>
      </c>
      <c r="G304" s="7"/>
      <c r="H304" s="7" t="s">
        <v>1191</v>
      </c>
      <c r="I304" s="1" t="s">
        <v>1192</v>
      </c>
      <c r="J304" s="7" t="s">
        <v>1193</v>
      </c>
      <c r="K304" s="1"/>
      <c r="L304" s="1" t="s">
        <v>1194</v>
      </c>
      <c r="M304" s="1"/>
      <c r="N304" s="1"/>
      <c r="O304" s="1" t="str">
        <f t="shared" si="1"/>
        <v> = 'B01001F_022',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2" t="s">
        <v>10</v>
      </c>
      <c r="B305" s="1"/>
      <c r="C305" s="7" t="s">
        <v>1158</v>
      </c>
      <c r="D305" s="7" t="s">
        <v>1159</v>
      </c>
      <c r="E305" s="7" t="s">
        <v>1160</v>
      </c>
      <c r="F305" s="3" t="str">
        <f>IFERROR(__xludf.DUMMYFUNCTION("REGEXREPLACE(E305, ""[^A-Za-z0-9]"", """")"),"SexbyAgeSomeOtherRaceAlone")</f>
        <v>SexbyAgeSomeOtherRaceAlone</v>
      </c>
      <c r="G305" s="7"/>
      <c r="H305" s="7" t="s">
        <v>1195</v>
      </c>
      <c r="I305" s="1" t="s">
        <v>1196</v>
      </c>
      <c r="J305" s="7" t="s">
        <v>1197</v>
      </c>
      <c r="K305" s="1"/>
      <c r="L305" s="1" t="s">
        <v>1198</v>
      </c>
      <c r="M305" s="1"/>
      <c r="N305" s="1"/>
      <c r="O305" s="1" t="str">
        <f t="shared" si="1"/>
        <v> = 'B01001F_023',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2" t="s">
        <v>10</v>
      </c>
      <c r="B306" s="1"/>
      <c r="C306" s="7" t="s">
        <v>1158</v>
      </c>
      <c r="D306" s="7" t="s">
        <v>1159</v>
      </c>
      <c r="E306" s="7" t="s">
        <v>1160</v>
      </c>
      <c r="F306" s="3" t="str">
        <f>IFERROR(__xludf.DUMMYFUNCTION("REGEXREPLACE(E306, ""[^A-Za-z0-9]"", """")"),"SexbyAgeSomeOtherRaceAlone")</f>
        <v>SexbyAgeSomeOtherRaceAlone</v>
      </c>
      <c r="G306" s="7"/>
      <c r="H306" s="7" t="s">
        <v>1199</v>
      </c>
      <c r="I306" s="1" t="s">
        <v>1200</v>
      </c>
      <c r="J306" s="7" t="s">
        <v>1201</v>
      </c>
      <c r="K306" s="1"/>
      <c r="L306" s="1" t="s">
        <v>1202</v>
      </c>
      <c r="M306" s="1"/>
      <c r="N306" s="1"/>
      <c r="O306" s="1" t="str">
        <f t="shared" si="1"/>
        <v> = 'B01001F_024',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2" t="s">
        <v>10</v>
      </c>
      <c r="B307" s="1"/>
      <c r="C307" s="7" t="s">
        <v>1158</v>
      </c>
      <c r="D307" s="7" t="s">
        <v>1159</v>
      </c>
      <c r="E307" s="7" t="s">
        <v>1160</v>
      </c>
      <c r="F307" s="3" t="str">
        <f>IFERROR(__xludf.DUMMYFUNCTION("REGEXREPLACE(E307, ""[^A-Za-z0-9]"", """")"),"SexbyAgeSomeOtherRaceAlone")</f>
        <v>SexbyAgeSomeOtherRaceAlone</v>
      </c>
      <c r="G307" s="7"/>
      <c r="H307" s="7" t="s">
        <v>1203</v>
      </c>
      <c r="I307" s="1" t="s">
        <v>1204</v>
      </c>
      <c r="J307" s="7" t="s">
        <v>1205</v>
      </c>
      <c r="K307" s="1"/>
      <c r="L307" s="1" t="s">
        <v>1206</v>
      </c>
      <c r="M307" s="1"/>
      <c r="N307" s="1"/>
      <c r="O307" s="1" t="str">
        <f t="shared" si="1"/>
        <v> = 'B01001F_025',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2" t="s">
        <v>10</v>
      </c>
      <c r="B308" s="1"/>
      <c r="C308" s="7" t="s">
        <v>1158</v>
      </c>
      <c r="D308" s="7" t="s">
        <v>1159</v>
      </c>
      <c r="E308" s="7" t="s">
        <v>1160</v>
      </c>
      <c r="F308" s="3" t="str">
        <f>IFERROR(__xludf.DUMMYFUNCTION("REGEXREPLACE(E308, ""[^A-Za-z0-9]"", """")"),"SexbyAgeSomeOtherRaceAlone")</f>
        <v>SexbyAgeSomeOtherRaceAlone</v>
      </c>
      <c r="G308" s="7"/>
      <c r="H308" s="7" t="s">
        <v>1207</v>
      </c>
      <c r="I308" s="1" t="s">
        <v>1208</v>
      </c>
      <c r="J308" s="7" t="s">
        <v>1209</v>
      </c>
      <c r="K308" s="1"/>
      <c r="L308" s="1" t="s">
        <v>1210</v>
      </c>
      <c r="M308" s="1"/>
      <c r="N308" s="1"/>
      <c r="O308" s="1" t="str">
        <f t="shared" si="1"/>
        <v> = 'B01001F_026',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2" t="s">
        <v>10</v>
      </c>
      <c r="B309" s="1"/>
      <c r="C309" s="7" t="s">
        <v>1158</v>
      </c>
      <c r="D309" s="7" t="s">
        <v>1159</v>
      </c>
      <c r="E309" s="7" t="s">
        <v>1160</v>
      </c>
      <c r="F309" s="3" t="str">
        <f>IFERROR(__xludf.DUMMYFUNCTION("REGEXREPLACE(E309, ""[^A-Za-z0-9]"", """")"),"SexbyAgeSomeOtherRaceAlone")</f>
        <v>SexbyAgeSomeOtherRaceAlone</v>
      </c>
      <c r="G309" s="7"/>
      <c r="H309" s="7" t="s">
        <v>1211</v>
      </c>
      <c r="I309" s="1" t="s">
        <v>1212</v>
      </c>
      <c r="J309" s="7" t="s">
        <v>1213</v>
      </c>
      <c r="K309" s="1"/>
      <c r="L309" s="1" t="s">
        <v>1214</v>
      </c>
      <c r="M309" s="1"/>
      <c r="N309" s="1"/>
      <c r="O309" s="1" t="str">
        <f t="shared" si="1"/>
        <v> = 'B01001F_027',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2" t="s">
        <v>10</v>
      </c>
      <c r="B310" s="1"/>
      <c r="C310" s="7" t="s">
        <v>1158</v>
      </c>
      <c r="D310" s="7" t="s">
        <v>1159</v>
      </c>
      <c r="E310" s="7" t="s">
        <v>1160</v>
      </c>
      <c r="F310" s="3" t="str">
        <f>IFERROR(__xludf.DUMMYFUNCTION("REGEXREPLACE(E310, ""[^A-Za-z0-9]"", """")"),"SexbyAgeSomeOtherRaceAlone")</f>
        <v>SexbyAgeSomeOtherRaceAlone</v>
      </c>
      <c r="G310" s="7"/>
      <c r="H310" s="7" t="s">
        <v>1215</v>
      </c>
      <c r="I310" s="1" t="s">
        <v>1216</v>
      </c>
      <c r="J310" s="7" t="s">
        <v>1217</v>
      </c>
      <c r="K310" s="1"/>
      <c r="L310" s="1" t="s">
        <v>1218</v>
      </c>
      <c r="M310" s="1"/>
      <c r="N310" s="1"/>
      <c r="O310" s="1" t="str">
        <f t="shared" si="1"/>
        <v> = 'B01001F_028',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2" t="s">
        <v>10</v>
      </c>
      <c r="B311" s="1"/>
      <c r="C311" s="7" t="s">
        <v>1158</v>
      </c>
      <c r="D311" s="7" t="s">
        <v>1159</v>
      </c>
      <c r="E311" s="7" t="s">
        <v>1160</v>
      </c>
      <c r="F311" s="3" t="str">
        <f>IFERROR(__xludf.DUMMYFUNCTION("REGEXREPLACE(E311, ""[^A-Za-z0-9]"", """")"),"SexbyAgeSomeOtherRaceAlone")</f>
        <v>SexbyAgeSomeOtherRaceAlone</v>
      </c>
      <c r="G311" s="7"/>
      <c r="H311" s="7" t="s">
        <v>1219</v>
      </c>
      <c r="I311" s="1" t="s">
        <v>1220</v>
      </c>
      <c r="J311" s="7" t="s">
        <v>1221</v>
      </c>
      <c r="K311" s="1"/>
      <c r="L311" s="1" t="s">
        <v>1222</v>
      </c>
      <c r="M311" s="1"/>
      <c r="N311" s="1"/>
      <c r="O311" s="1" t="str">
        <f t="shared" si="1"/>
        <v> = 'B01001F_029',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2" t="s">
        <v>10</v>
      </c>
      <c r="B312" s="1"/>
      <c r="C312" s="7" t="s">
        <v>1158</v>
      </c>
      <c r="D312" s="7" t="s">
        <v>1159</v>
      </c>
      <c r="E312" s="7" t="s">
        <v>1160</v>
      </c>
      <c r="F312" s="3" t="str">
        <f>IFERROR(__xludf.DUMMYFUNCTION("REGEXREPLACE(E312, ""[^A-Za-z0-9]"", """")"),"SexbyAgeSomeOtherRaceAlone")</f>
        <v>SexbyAgeSomeOtherRaceAlone</v>
      </c>
      <c r="G312" s="7"/>
      <c r="H312" s="7" t="s">
        <v>1223</v>
      </c>
      <c r="I312" s="1" t="s">
        <v>1224</v>
      </c>
      <c r="J312" s="7" t="s">
        <v>1225</v>
      </c>
      <c r="K312" s="1"/>
      <c r="L312" s="1" t="s">
        <v>1226</v>
      </c>
      <c r="M312" s="1"/>
      <c r="N312" s="1"/>
      <c r="O312" s="1" t="str">
        <f t="shared" si="1"/>
        <v> = 'B01001F_030',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2" t="s">
        <v>10</v>
      </c>
      <c r="B313" s="1"/>
      <c r="C313" s="7" t="s">
        <v>1158</v>
      </c>
      <c r="D313" s="7" t="s">
        <v>1159</v>
      </c>
      <c r="E313" s="7" t="s">
        <v>1160</v>
      </c>
      <c r="F313" s="3" t="str">
        <f>IFERROR(__xludf.DUMMYFUNCTION("REGEXREPLACE(E313, ""[^A-Za-z0-9]"", """")"),"SexbyAgeSomeOtherRaceAlone")</f>
        <v>SexbyAgeSomeOtherRaceAlone</v>
      </c>
      <c r="G313" s="7"/>
      <c r="H313" s="7" t="s">
        <v>1227</v>
      </c>
      <c r="I313" s="1" t="s">
        <v>1228</v>
      </c>
      <c r="J313" s="7" t="s">
        <v>1229</v>
      </c>
      <c r="K313" s="1"/>
      <c r="L313" s="1" t="s">
        <v>1230</v>
      </c>
      <c r="M313" s="1"/>
      <c r="N313" s="1"/>
      <c r="O313" s="1" t="str">
        <f t="shared" si="1"/>
        <v> = 'B01001F_031',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2" t="s">
        <v>10</v>
      </c>
      <c r="B314" s="1"/>
      <c r="C314" s="7" t="s">
        <v>1158</v>
      </c>
      <c r="D314" s="7" t="s">
        <v>1159</v>
      </c>
      <c r="E314" s="7" t="s">
        <v>1231</v>
      </c>
      <c r="F314" s="3" t="str">
        <f>IFERROR(__xludf.DUMMYFUNCTION("REGEXREPLACE(E314, ""[^A-Za-z0-9]"", """")"),"SexbyAgeTwoorMoreRaces")</f>
        <v>SexbyAgeTwoorMoreRaces</v>
      </c>
      <c r="G314" s="7"/>
      <c r="H314" s="7" t="s">
        <v>16</v>
      </c>
      <c r="I314" s="1" t="s">
        <v>1232</v>
      </c>
      <c r="J314" s="7" t="s">
        <v>1233</v>
      </c>
      <c r="K314" s="1"/>
      <c r="L314" s="1" t="s">
        <v>20</v>
      </c>
      <c r="M314" s="1"/>
      <c r="N314" s="1"/>
      <c r="O314" s="1" t="str">
        <f t="shared" si="1"/>
        <v> = 'B01001G_001',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2" t="s">
        <v>10</v>
      </c>
      <c r="B315" s="1"/>
      <c r="C315" s="7" t="s">
        <v>1158</v>
      </c>
      <c r="D315" s="7" t="s">
        <v>1159</v>
      </c>
      <c r="E315" s="7" t="s">
        <v>1231</v>
      </c>
      <c r="F315" s="3" t="str">
        <f>IFERROR(__xludf.DUMMYFUNCTION("REGEXREPLACE(E315, ""[^A-Za-z0-9]"", """")"),"SexbyAgeTwoorMoreRaces")</f>
        <v>SexbyAgeTwoorMoreRaces</v>
      </c>
      <c r="G315" s="7"/>
      <c r="H315" s="7" t="s">
        <v>387</v>
      </c>
      <c r="I315" s="1" t="s">
        <v>1234</v>
      </c>
      <c r="J315" s="7" t="s">
        <v>1235</v>
      </c>
      <c r="K315" s="1"/>
      <c r="L315" s="1" t="s">
        <v>390</v>
      </c>
      <c r="M315" s="1"/>
      <c r="N315" s="1"/>
      <c r="O315" s="1" t="str">
        <f t="shared" si="1"/>
        <v> = 'B01001G_002',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2" t="s">
        <v>10</v>
      </c>
      <c r="B316" s="1"/>
      <c r="C316" s="7" t="s">
        <v>1158</v>
      </c>
      <c r="D316" s="7" t="s">
        <v>1159</v>
      </c>
      <c r="E316" s="7" t="s">
        <v>1231</v>
      </c>
      <c r="F316" s="3" t="str">
        <f>IFERROR(__xludf.DUMMYFUNCTION("REGEXREPLACE(E316, ""[^A-Za-z0-9]"", """")"),"SexbyAgeTwoorMoreRaces")</f>
        <v>SexbyAgeTwoorMoreRaces</v>
      </c>
      <c r="G316" s="7"/>
      <c r="H316" s="7" t="s">
        <v>1236</v>
      </c>
      <c r="I316" s="1" t="s">
        <v>1237</v>
      </c>
      <c r="J316" s="7" t="s">
        <v>1238</v>
      </c>
      <c r="K316" s="1"/>
      <c r="L316" s="1" t="s">
        <v>1239</v>
      </c>
      <c r="M316" s="1"/>
      <c r="N316" s="1"/>
      <c r="O316" s="1" t="str">
        <f t="shared" si="1"/>
        <v> = 'B01001G_003',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2" t="s">
        <v>10</v>
      </c>
      <c r="B317" s="1"/>
      <c r="C317" s="7" t="s">
        <v>1158</v>
      </c>
      <c r="D317" s="7" t="s">
        <v>1159</v>
      </c>
      <c r="E317" s="7" t="s">
        <v>1231</v>
      </c>
      <c r="F317" s="3" t="str">
        <f>IFERROR(__xludf.DUMMYFUNCTION("REGEXREPLACE(E317, ""[^A-Za-z0-9]"", """")"),"SexbyAgeTwoorMoreRaces")</f>
        <v>SexbyAgeTwoorMoreRaces</v>
      </c>
      <c r="G317" s="7"/>
      <c r="H317" s="7" t="s">
        <v>1240</v>
      </c>
      <c r="I317" s="1" t="s">
        <v>1241</v>
      </c>
      <c r="J317" s="7" t="s">
        <v>1242</v>
      </c>
      <c r="K317" s="1"/>
      <c r="L317" s="1" t="s">
        <v>1243</v>
      </c>
      <c r="M317" s="1"/>
      <c r="N317" s="1"/>
      <c r="O317" s="1" t="str">
        <f t="shared" si="1"/>
        <v> = 'B01001G_004',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2" t="s">
        <v>10</v>
      </c>
      <c r="B318" s="1"/>
      <c r="C318" s="7" t="s">
        <v>1158</v>
      </c>
      <c r="D318" s="7" t="s">
        <v>1159</v>
      </c>
      <c r="E318" s="7" t="s">
        <v>1231</v>
      </c>
      <c r="F318" s="3" t="str">
        <f>IFERROR(__xludf.DUMMYFUNCTION("REGEXREPLACE(E318, ""[^A-Za-z0-9]"", """")"),"SexbyAgeTwoorMoreRaces")</f>
        <v>SexbyAgeTwoorMoreRaces</v>
      </c>
      <c r="G318" s="7"/>
      <c r="H318" s="7" t="s">
        <v>1244</v>
      </c>
      <c r="I318" s="1" t="s">
        <v>1245</v>
      </c>
      <c r="J318" s="7" t="s">
        <v>1246</v>
      </c>
      <c r="K318" s="1"/>
      <c r="L318" s="1" t="s">
        <v>1247</v>
      </c>
      <c r="M318" s="1"/>
      <c r="N318" s="1"/>
      <c r="O318" s="1" t="str">
        <f t="shared" si="1"/>
        <v> = 'B01001G_005',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2" t="s">
        <v>10</v>
      </c>
      <c r="B319" s="1"/>
      <c r="C319" s="7" t="s">
        <v>1158</v>
      </c>
      <c r="D319" s="7" t="s">
        <v>1159</v>
      </c>
      <c r="E319" s="7" t="s">
        <v>1231</v>
      </c>
      <c r="F319" s="3" t="str">
        <f>IFERROR(__xludf.DUMMYFUNCTION("REGEXREPLACE(E319, ""[^A-Za-z0-9]"", """")"),"SexbyAgeTwoorMoreRaces")</f>
        <v>SexbyAgeTwoorMoreRaces</v>
      </c>
      <c r="G319" s="7"/>
      <c r="H319" s="7" t="s">
        <v>1248</v>
      </c>
      <c r="I319" s="1" t="s">
        <v>1249</v>
      </c>
      <c r="J319" s="7" t="s">
        <v>1250</v>
      </c>
      <c r="K319" s="1"/>
      <c r="L319" s="1" t="s">
        <v>1251</v>
      </c>
      <c r="M319" s="1"/>
      <c r="N319" s="1"/>
      <c r="O319" s="1" t="str">
        <f t="shared" si="1"/>
        <v> = 'B01001G_006',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2" t="s">
        <v>10</v>
      </c>
      <c r="B320" s="1"/>
      <c r="C320" s="7" t="s">
        <v>1158</v>
      </c>
      <c r="D320" s="7" t="s">
        <v>1159</v>
      </c>
      <c r="E320" s="7" t="s">
        <v>1231</v>
      </c>
      <c r="F320" s="3" t="str">
        <f>IFERROR(__xludf.DUMMYFUNCTION("REGEXREPLACE(E320, ""[^A-Za-z0-9]"", """")"),"SexbyAgeTwoorMoreRaces")</f>
        <v>SexbyAgeTwoorMoreRaces</v>
      </c>
      <c r="G320" s="7"/>
      <c r="H320" s="7" t="s">
        <v>1252</v>
      </c>
      <c r="I320" s="1" t="s">
        <v>1253</v>
      </c>
      <c r="J320" s="7" t="s">
        <v>1254</v>
      </c>
      <c r="K320" s="1"/>
      <c r="L320" s="1" t="s">
        <v>1255</v>
      </c>
      <c r="M320" s="1"/>
      <c r="N320" s="1"/>
      <c r="O320" s="1" t="str">
        <f t="shared" si="1"/>
        <v> = 'B01001G_007',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2" t="s">
        <v>10</v>
      </c>
      <c r="B321" s="1"/>
      <c r="C321" s="7" t="s">
        <v>1158</v>
      </c>
      <c r="D321" s="7" t="s">
        <v>1159</v>
      </c>
      <c r="E321" s="7" t="s">
        <v>1231</v>
      </c>
      <c r="F321" s="3" t="str">
        <f>IFERROR(__xludf.DUMMYFUNCTION("REGEXREPLACE(E321, ""[^A-Za-z0-9]"", """")"),"SexbyAgeTwoorMoreRaces")</f>
        <v>SexbyAgeTwoorMoreRaces</v>
      </c>
      <c r="G321" s="7"/>
      <c r="H321" s="7" t="s">
        <v>1256</v>
      </c>
      <c r="I321" s="1" t="s">
        <v>1257</v>
      </c>
      <c r="J321" s="7" t="s">
        <v>1258</v>
      </c>
      <c r="K321" s="1"/>
      <c r="L321" s="1" t="s">
        <v>1259</v>
      </c>
      <c r="M321" s="1"/>
      <c r="N321" s="1"/>
      <c r="O321" s="1" t="str">
        <f t="shared" si="1"/>
        <v> = 'B01001G_008',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2" t="s">
        <v>10</v>
      </c>
      <c r="B322" s="1"/>
      <c r="C322" s="7" t="s">
        <v>1158</v>
      </c>
      <c r="D322" s="7" t="s">
        <v>1159</v>
      </c>
      <c r="E322" s="7" t="s">
        <v>1231</v>
      </c>
      <c r="F322" s="3" t="str">
        <f>IFERROR(__xludf.DUMMYFUNCTION("REGEXREPLACE(E322, ""[^A-Za-z0-9]"", """")"),"SexbyAgeTwoorMoreRaces")</f>
        <v>SexbyAgeTwoorMoreRaces</v>
      </c>
      <c r="G322" s="7"/>
      <c r="H322" s="7" t="s">
        <v>1260</v>
      </c>
      <c r="I322" s="1" t="s">
        <v>1261</v>
      </c>
      <c r="J322" s="7" t="s">
        <v>1262</v>
      </c>
      <c r="K322" s="1"/>
      <c r="L322" s="1" t="s">
        <v>1263</v>
      </c>
      <c r="M322" s="1"/>
      <c r="N322" s="1"/>
      <c r="O322" s="1" t="str">
        <f t="shared" si="1"/>
        <v> = 'B01001G_009',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2" t="s">
        <v>10</v>
      </c>
      <c r="B323" s="1"/>
      <c r="C323" s="7" t="s">
        <v>1158</v>
      </c>
      <c r="D323" s="7" t="s">
        <v>1159</v>
      </c>
      <c r="E323" s="7" t="s">
        <v>1231</v>
      </c>
      <c r="F323" s="3" t="str">
        <f>IFERROR(__xludf.DUMMYFUNCTION("REGEXREPLACE(E323, ""[^A-Za-z0-9]"", """")"),"SexbyAgeTwoorMoreRaces")</f>
        <v>SexbyAgeTwoorMoreRaces</v>
      </c>
      <c r="G323" s="7"/>
      <c r="H323" s="7" t="s">
        <v>1264</v>
      </c>
      <c r="I323" s="1" t="s">
        <v>1265</v>
      </c>
      <c r="J323" s="7" t="s">
        <v>1266</v>
      </c>
      <c r="K323" s="1"/>
      <c r="L323" s="1" t="s">
        <v>1267</v>
      </c>
      <c r="M323" s="1"/>
      <c r="N323" s="1"/>
      <c r="O323" s="1" t="str">
        <f t="shared" si="1"/>
        <v> = 'B01001G_010',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2" t="s">
        <v>10</v>
      </c>
      <c r="B324" s="1"/>
      <c r="C324" s="7" t="s">
        <v>1158</v>
      </c>
      <c r="D324" s="7" t="s">
        <v>1159</v>
      </c>
      <c r="E324" s="7" t="s">
        <v>1231</v>
      </c>
      <c r="F324" s="3" t="str">
        <f>IFERROR(__xludf.DUMMYFUNCTION("REGEXREPLACE(E324, ""[^A-Za-z0-9]"", """")"),"SexbyAgeTwoorMoreRaces")</f>
        <v>SexbyAgeTwoorMoreRaces</v>
      </c>
      <c r="G324" s="7"/>
      <c r="H324" s="7" t="s">
        <v>1268</v>
      </c>
      <c r="I324" s="1" t="s">
        <v>1269</v>
      </c>
      <c r="J324" s="7" t="s">
        <v>1270</v>
      </c>
      <c r="K324" s="1"/>
      <c r="L324" s="1" t="s">
        <v>1271</v>
      </c>
      <c r="M324" s="1"/>
      <c r="N324" s="1"/>
      <c r="O324" s="1" t="str">
        <f t="shared" si="1"/>
        <v> = 'B01001G_011',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2" t="s">
        <v>10</v>
      </c>
      <c r="B325" s="1"/>
      <c r="C325" s="7" t="s">
        <v>1158</v>
      </c>
      <c r="D325" s="7" t="s">
        <v>1159</v>
      </c>
      <c r="E325" s="7" t="s">
        <v>1231</v>
      </c>
      <c r="F325" s="3" t="str">
        <f>IFERROR(__xludf.DUMMYFUNCTION("REGEXREPLACE(E325, ""[^A-Za-z0-9]"", """")"),"SexbyAgeTwoorMoreRaces")</f>
        <v>SexbyAgeTwoorMoreRaces</v>
      </c>
      <c r="G325" s="7"/>
      <c r="H325" s="7" t="s">
        <v>1272</v>
      </c>
      <c r="I325" s="1" t="s">
        <v>1273</v>
      </c>
      <c r="J325" s="7" t="s">
        <v>1274</v>
      </c>
      <c r="K325" s="1"/>
      <c r="L325" s="1" t="s">
        <v>1275</v>
      </c>
      <c r="M325" s="1"/>
      <c r="N325" s="1"/>
      <c r="O325" s="1" t="str">
        <f t="shared" si="1"/>
        <v> = 'B01001G_012',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2" t="s">
        <v>10</v>
      </c>
      <c r="B326" s="1"/>
      <c r="C326" s="7" t="s">
        <v>1158</v>
      </c>
      <c r="D326" s="7" t="s">
        <v>1159</v>
      </c>
      <c r="E326" s="7" t="s">
        <v>1231</v>
      </c>
      <c r="F326" s="3" t="str">
        <f>IFERROR(__xludf.DUMMYFUNCTION("REGEXREPLACE(E326, ""[^A-Za-z0-9]"", """")"),"SexbyAgeTwoorMoreRaces")</f>
        <v>SexbyAgeTwoorMoreRaces</v>
      </c>
      <c r="G326" s="7"/>
      <c r="H326" s="7" t="s">
        <v>1276</v>
      </c>
      <c r="I326" s="1" t="s">
        <v>1277</v>
      </c>
      <c r="J326" s="7" t="s">
        <v>1278</v>
      </c>
      <c r="K326" s="1"/>
      <c r="L326" s="1" t="s">
        <v>1279</v>
      </c>
      <c r="M326" s="1"/>
      <c r="N326" s="1"/>
      <c r="O326" s="1" t="str">
        <f t="shared" si="1"/>
        <v> = 'B01001G_013',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2" t="s">
        <v>10</v>
      </c>
      <c r="B327" s="1"/>
      <c r="C327" s="7" t="s">
        <v>1158</v>
      </c>
      <c r="D327" s="7" t="s">
        <v>1159</v>
      </c>
      <c r="E327" s="7" t="s">
        <v>1231</v>
      </c>
      <c r="F327" s="3" t="str">
        <f>IFERROR(__xludf.DUMMYFUNCTION("REGEXREPLACE(E327, ""[^A-Za-z0-9]"", """")"),"SexbyAgeTwoorMoreRaces")</f>
        <v>SexbyAgeTwoorMoreRaces</v>
      </c>
      <c r="G327" s="7"/>
      <c r="H327" s="7" t="s">
        <v>1161</v>
      </c>
      <c r="I327" s="1" t="s">
        <v>1280</v>
      </c>
      <c r="J327" s="7" t="s">
        <v>1281</v>
      </c>
      <c r="K327" s="1"/>
      <c r="L327" s="1" t="s">
        <v>1164</v>
      </c>
      <c r="M327" s="1"/>
      <c r="N327" s="1"/>
      <c r="O327" s="1" t="str">
        <f t="shared" si="1"/>
        <v> = 'B01001G_014',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2" t="s">
        <v>10</v>
      </c>
      <c r="B328" s="1"/>
      <c r="C328" s="7" t="s">
        <v>1158</v>
      </c>
      <c r="D328" s="7" t="s">
        <v>1159</v>
      </c>
      <c r="E328" s="7" t="s">
        <v>1231</v>
      </c>
      <c r="F328" s="3" t="str">
        <f>IFERROR(__xludf.DUMMYFUNCTION("REGEXREPLACE(E328, ""[^A-Za-z0-9]"", """")"),"SexbyAgeTwoorMoreRaces")</f>
        <v>SexbyAgeTwoorMoreRaces</v>
      </c>
      <c r="G328" s="7"/>
      <c r="H328" s="7" t="s">
        <v>1165</v>
      </c>
      <c r="I328" s="1" t="s">
        <v>1282</v>
      </c>
      <c r="J328" s="7" t="s">
        <v>1283</v>
      </c>
      <c r="K328" s="1"/>
      <c r="L328" s="1" t="s">
        <v>1168</v>
      </c>
      <c r="M328" s="1"/>
      <c r="N328" s="1"/>
      <c r="O328" s="1" t="str">
        <f t="shared" si="1"/>
        <v> = 'B01001G_015',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2" t="s">
        <v>10</v>
      </c>
      <c r="B329" s="1"/>
      <c r="C329" s="7" t="s">
        <v>1158</v>
      </c>
      <c r="D329" s="7" t="s">
        <v>1159</v>
      </c>
      <c r="E329" s="7" t="s">
        <v>1231</v>
      </c>
      <c r="F329" s="3" t="str">
        <f>IFERROR(__xludf.DUMMYFUNCTION("REGEXREPLACE(E329, ""[^A-Za-z0-9]"", """")"),"SexbyAgeTwoorMoreRaces")</f>
        <v>SexbyAgeTwoorMoreRaces</v>
      </c>
      <c r="G329" s="7"/>
      <c r="H329" s="7" t="s">
        <v>1169</v>
      </c>
      <c r="I329" s="1" t="s">
        <v>1284</v>
      </c>
      <c r="J329" s="7" t="s">
        <v>1285</v>
      </c>
      <c r="K329" s="1"/>
      <c r="L329" s="1" t="s">
        <v>1172</v>
      </c>
      <c r="M329" s="1"/>
      <c r="N329" s="1"/>
      <c r="O329" s="1" t="str">
        <f t="shared" si="1"/>
        <v> = 'B01001G_016',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2" t="s">
        <v>10</v>
      </c>
      <c r="B330" s="1"/>
      <c r="C330" s="7" t="s">
        <v>1158</v>
      </c>
      <c r="D330" s="7" t="s">
        <v>1159</v>
      </c>
      <c r="E330" s="7" t="s">
        <v>1231</v>
      </c>
      <c r="F330" s="3" t="str">
        <f>IFERROR(__xludf.DUMMYFUNCTION("REGEXREPLACE(E330, ""[^A-Za-z0-9]"", """")"),"SexbyAgeTwoorMoreRaces")</f>
        <v>SexbyAgeTwoorMoreRaces</v>
      </c>
      <c r="G330" s="7"/>
      <c r="H330" s="7" t="s">
        <v>452</v>
      </c>
      <c r="I330" s="1" t="s">
        <v>1286</v>
      </c>
      <c r="J330" s="7" t="s">
        <v>1287</v>
      </c>
      <c r="K330" s="1"/>
      <c r="L330" s="1" t="s">
        <v>455</v>
      </c>
      <c r="M330" s="1"/>
      <c r="N330" s="1"/>
      <c r="O330" s="1" t="str">
        <f t="shared" si="1"/>
        <v> = 'B01001G_017',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2" t="s">
        <v>10</v>
      </c>
      <c r="B331" s="1"/>
      <c r="C331" s="7" t="s">
        <v>1158</v>
      </c>
      <c r="D331" s="7" t="s">
        <v>1159</v>
      </c>
      <c r="E331" s="7" t="s">
        <v>1231</v>
      </c>
      <c r="F331" s="3" t="str">
        <f>IFERROR(__xludf.DUMMYFUNCTION("REGEXREPLACE(E331, ""[^A-Za-z0-9]"", """")"),"SexbyAgeTwoorMoreRaces")</f>
        <v>SexbyAgeTwoorMoreRaces</v>
      </c>
      <c r="G331" s="7"/>
      <c r="H331" s="7" t="s">
        <v>1175</v>
      </c>
      <c r="I331" s="1" t="s">
        <v>1288</v>
      </c>
      <c r="J331" s="7" t="s">
        <v>1289</v>
      </c>
      <c r="K331" s="1"/>
      <c r="L331" s="1" t="s">
        <v>1178</v>
      </c>
      <c r="M331" s="1"/>
      <c r="N331" s="1"/>
      <c r="O331" s="1" t="str">
        <f t="shared" si="1"/>
        <v> = 'B01001G_018',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2" t="s">
        <v>10</v>
      </c>
      <c r="B332" s="1"/>
      <c r="C332" s="7" t="s">
        <v>1158</v>
      </c>
      <c r="D332" s="7" t="s">
        <v>1159</v>
      </c>
      <c r="E332" s="7" t="s">
        <v>1231</v>
      </c>
      <c r="F332" s="3" t="str">
        <f>IFERROR(__xludf.DUMMYFUNCTION("REGEXREPLACE(E332, ""[^A-Za-z0-9]"", """")"),"SexbyAgeTwoorMoreRaces")</f>
        <v>SexbyAgeTwoorMoreRaces</v>
      </c>
      <c r="G332" s="7"/>
      <c r="H332" s="7" t="s">
        <v>1179</v>
      </c>
      <c r="I332" s="1" t="s">
        <v>1290</v>
      </c>
      <c r="J332" s="7" t="s">
        <v>1291</v>
      </c>
      <c r="K332" s="1"/>
      <c r="L332" s="1" t="s">
        <v>1182</v>
      </c>
      <c r="M332" s="1"/>
      <c r="N332" s="1"/>
      <c r="O332" s="1" t="str">
        <f t="shared" si="1"/>
        <v> = 'B01001G_019',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2" t="s">
        <v>10</v>
      </c>
      <c r="B333" s="1"/>
      <c r="C333" s="7" t="s">
        <v>1158</v>
      </c>
      <c r="D333" s="7" t="s">
        <v>1159</v>
      </c>
      <c r="E333" s="7" t="s">
        <v>1231</v>
      </c>
      <c r="F333" s="3" t="str">
        <f>IFERROR(__xludf.DUMMYFUNCTION("REGEXREPLACE(E333, ""[^A-Za-z0-9]"", """")"),"SexbyAgeTwoorMoreRaces")</f>
        <v>SexbyAgeTwoorMoreRaces</v>
      </c>
      <c r="G333" s="7"/>
      <c r="H333" s="7" t="s">
        <v>1183</v>
      </c>
      <c r="I333" s="1" t="s">
        <v>1292</v>
      </c>
      <c r="J333" s="7" t="s">
        <v>1293</v>
      </c>
      <c r="K333" s="1"/>
      <c r="L333" s="1" t="s">
        <v>1186</v>
      </c>
      <c r="M333" s="1"/>
      <c r="N333" s="1"/>
      <c r="O333" s="1" t="str">
        <f t="shared" si="1"/>
        <v> = 'B01001G_020',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2" t="s">
        <v>10</v>
      </c>
      <c r="B334" s="1"/>
      <c r="C334" s="7" t="s">
        <v>1158</v>
      </c>
      <c r="D334" s="7" t="s">
        <v>1159</v>
      </c>
      <c r="E334" s="7" t="s">
        <v>1231</v>
      </c>
      <c r="F334" s="3" t="str">
        <f>IFERROR(__xludf.DUMMYFUNCTION("REGEXREPLACE(E334, ""[^A-Za-z0-9]"", """")"),"SexbyAgeTwoorMoreRaces")</f>
        <v>SexbyAgeTwoorMoreRaces</v>
      </c>
      <c r="G334" s="7"/>
      <c r="H334" s="7" t="s">
        <v>1187</v>
      </c>
      <c r="I334" s="1" t="s">
        <v>1294</v>
      </c>
      <c r="J334" s="7" t="s">
        <v>1295</v>
      </c>
      <c r="K334" s="1"/>
      <c r="L334" s="1" t="s">
        <v>1190</v>
      </c>
      <c r="M334" s="1"/>
      <c r="N334" s="1"/>
      <c r="O334" s="1" t="str">
        <f t="shared" si="1"/>
        <v> = 'B01001G_021',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2" t="s">
        <v>10</v>
      </c>
      <c r="B335" s="1"/>
      <c r="C335" s="7" t="s">
        <v>1158</v>
      </c>
      <c r="D335" s="7" t="s">
        <v>1159</v>
      </c>
      <c r="E335" s="7" t="s">
        <v>1231</v>
      </c>
      <c r="F335" s="3" t="str">
        <f>IFERROR(__xludf.DUMMYFUNCTION("REGEXREPLACE(E335, ""[^A-Za-z0-9]"", """")"),"SexbyAgeTwoorMoreRaces")</f>
        <v>SexbyAgeTwoorMoreRaces</v>
      </c>
      <c r="G335" s="7"/>
      <c r="H335" s="7" t="s">
        <v>1191</v>
      </c>
      <c r="I335" s="1" t="s">
        <v>1296</v>
      </c>
      <c r="J335" s="7" t="s">
        <v>1297</v>
      </c>
      <c r="K335" s="1"/>
      <c r="L335" s="1" t="s">
        <v>1194</v>
      </c>
      <c r="M335" s="1"/>
      <c r="N335" s="1"/>
      <c r="O335" s="1" t="str">
        <f t="shared" si="1"/>
        <v> = 'B01001G_022',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2" t="s">
        <v>10</v>
      </c>
      <c r="B336" s="1"/>
      <c r="C336" s="7" t="s">
        <v>1158</v>
      </c>
      <c r="D336" s="7" t="s">
        <v>1159</v>
      </c>
      <c r="E336" s="7" t="s">
        <v>1231</v>
      </c>
      <c r="F336" s="3" t="str">
        <f>IFERROR(__xludf.DUMMYFUNCTION("REGEXREPLACE(E336, ""[^A-Za-z0-9]"", """")"),"SexbyAgeTwoorMoreRaces")</f>
        <v>SexbyAgeTwoorMoreRaces</v>
      </c>
      <c r="G336" s="7"/>
      <c r="H336" s="7" t="s">
        <v>1195</v>
      </c>
      <c r="I336" s="1" t="s">
        <v>1298</v>
      </c>
      <c r="J336" s="7" t="s">
        <v>1299</v>
      </c>
      <c r="K336" s="1"/>
      <c r="L336" s="1" t="s">
        <v>1198</v>
      </c>
      <c r="M336" s="1"/>
      <c r="N336" s="1"/>
      <c r="O336" s="1" t="str">
        <f t="shared" si="1"/>
        <v> = 'B01001G_023',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2" t="s">
        <v>10</v>
      </c>
      <c r="B337" s="1"/>
      <c r="C337" s="7" t="s">
        <v>1158</v>
      </c>
      <c r="D337" s="7" t="s">
        <v>1159</v>
      </c>
      <c r="E337" s="7" t="s">
        <v>1231</v>
      </c>
      <c r="F337" s="3" t="str">
        <f>IFERROR(__xludf.DUMMYFUNCTION("REGEXREPLACE(E337, ""[^A-Za-z0-9]"", """")"),"SexbyAgeTwoorMoreRaces")</f>
        <v>SexbyAgeTwoorMoreRaces</v>
      </c>
      <c r="G337" s="7"/>
      <c r="H337" s="7" t="s">
        <v>1199</v>
      </c>
      <c r="I337" s="1" t="s">
        <v>1300</v>
      </c>
      <c r="J337" s="7" t="s">
        <v>1301</v>
      </c>
      <c r="K337" s="1"/>
      <c r="L337" s="1" t="s">
        <v>1202</v>
      </c>
      <c r="M337" s="1"/>
      <c r="N337" s="1"/>
      <c r="O337" s="1" t="str">
        <f t="shared" si="1"/>
        <v> = 'B01001G_024',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2" t="s">
        <v>10</v>
      </c>
      <c r="B338" s="1"/>
      <c r="C338" s="7" t="s">
        <v>1158</v>
      </c>
      <c r="D338" s="7" t="s">
        <v>1159</v>
      </c>
      <c r="E338" s="7" t="s">
        <v>1231</v>
      </c>
      <c r="F338" s="3" t="str">
        <f>IFERROR(__xludf.DUMMYFUNCTION("REGEXREPLACE(E338, ""[^A-Za-z0-9]"", """")"),"SexbyAgeTwoorMoreRaces")</f>
        <v>SexbyAgeTwoorMoreRaces</v>
      </c>
      <c r="G338" s="7"/>
      <c r="H338" s="7" t="s">
        <v>1203</v>
      </c>
      <c r="I338" s="1" t="s">
        <v>1302</v>
      </c>
      <c r="J338" s="7" t="s">
        <v>1303</v>
      </c>
      <c r="K338" s="1"/>
      <c r="L338" s="1" t="s">
        <v>1206</v>
      </c>
      <c r="M338" s="1"/>
      <c r="N338" s="1"/>
      <c r="O338" s="1" t="str">
        <f t="shared" si="1"/>
        <v> = 'B01001G_025',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2" t="s">
        <v>10</v>
      </c>
      <c r="B339" s="1"/>
      <c r="C339" s="7" t="s">
        <v>1158</v>
      </c>
      <c r="D339" s="7" t="s">
        <v>1159</v>
      </c>
      <c r="E339" s="7" t="s">
        <v>1231</v>
      </c>
      <c r="F339" s="3" t="str">
        <f>IFERROR(__xludf.DUMMYFUNCTION("REGEXREPLACE(E339, ""[^A-Za-z0-9]"", """")"),"SexbyAgeTwoorMoreRaces")</f>
        <v>SexbyAgeTwoorMoreRaces</v>
      </c>
      <c r="G339" s="7"/>
      <c r="H339" s="7" t="s">
        <v>1207</v>
      </c>
      <c r="I339" s="1" t="s">
        <v>1304</v>
      </c>
      <c r="J339" s="7" t="s">
        <v>1305</v>
      </c>
      <c r="K339" s="1"/>
      <c r="L339" s="1" t="s">
        <v>1210</v>
      </c>
      <c r="M339" s="1"/>
      <c r="N339" s="1"/>
      <c r="O339" s="1" t="str">
        <f t="shared" si="1"/>
        <v> = 'B01001G_026',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2" t="s">
        <v>10</v>
      </c>
      <c r="B340" s="1"/>
      <c r="C340" s="7" t="s">
        <v>1158</v>
      </c>
      <c r="D340" s="7" t="s">
        <v>1159</v>
      </c>
      <c r="E340" s="7" t="s">
        <v>1231</v>
      </c>
      <c r="F340" s="3" t="str">
        <f>IFERROR(__xludf.DUMMYFUNCTION("REGEXREPLACE(E340, ""[^A-Za-z0-9]"", """")"),"SexbyAgeTwoorMoreRaces")</f>
        <v>SexbyAgeTwoorMoreRaces</v>
      </c>
      <c r="G340" s="7"/>
      <c r="H340" s="7" t="s">
        <v>1211</v>
      </c>
      <c r="I340" s="1" t="s">
        <v>1306</v>
      </c>
      <c r="J340" s="7" t="s">
        <v>1307</v>
      </c>
      <c r="K340" s="1"/>
      <c r="L340" s="1" t="s">
        <v>1214</v>
      </c>
      <c r="M340" s="1"/>
      <c r="N340" s="1"/>
      <c r="O340" s="1" t="str">
        <f t="shared" si="1"/>
        <v> = 'B01001G_027',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2" t="s">
        <v>10</v>
      </c>
      <c r="B341" s="1"/>
      <c r="C341" s="7" t="s">
        <v>1158</v>
      </c>
      <c r="D341" s="7" t="s">
        <v>1159</v>
      </c>
      <c r="E341" s="7" t="s">
        <v>1231</v>
      </c>
      <c r="F341" s="3" t="str">
        <f>IFERROR(__xludf.DUMMYFUNCTION("REGEXREPLACE(E341, ""[^A-Za-z0-9]"", """")"),"SexbyAgeTwoorMoreRaces")</f>
        <v>SexbyAgeTwoorMoreRaces</v>
      </c>
      <c r="G341" s="7"/>
      <c r="H341" s="7" t="s">
        <v>1215</v>
      </c>
      <c r="I341" s="1" t="s">
        <v>1308</v>
      </c>
      <c r="J341" s="7" t="s">
        <v>1309</v>
      </c>
      <c r="K341" s="1"/>
      <c r="L341" s="1" t="s">
        <v>1218</v>
      </c>
      <c r="M341" s="1"/>
      <c r="N341" s="1"/>
      <c r="O341" s="1" t="str">
        <f t="shared" si="1"/>
        <v> = 'B01001G_028',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2" t="s">
        <v>10</v>
      </c>
      <c r="B342" s="1"/>
      <c r="C342" s="7" t="s">
        <v>1158</v>
      </c>
      <c r="D342" s="7" t="s">
        <v>1159</v>
      </c>
      <c r="E342" s="7" t="s">
        <v>1231</v>
      </c>
      <c r="F342" s="3" t="str">
        <f>IFERROR(__xludf.DUMMYFUNCTION("REGEXREPLACE(E342, ""[^A-Za-z0-9]"", """")"),"SexbyAgeTwoorMoreRaces")</f>
        <v>SexbyAgeTwoorMoreRaces</v>
      </c>
      <c r="G342" s="7"/>
      <c r="H342" s="7" t="s">
        <v>1219</v>
      </c>
      <c r="I342" s="1" t="s">
        <v>1310</v>
      </c>
      <c r="J342" s="7" t="s">
        <v>1311</v>
      </c>
      <c r="K342" s="1"/>
      <c r="L342" s="1" t="s">
        <v>1222</v>
      </c>
      <c r="M342" s="1"/>
      <c r="N342" s="1"/>
      <c r="O342" s="1" t="str">
        <f t="shared" si="1"/>
        <v> = 'B01001G_029',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2" t="s">
        <v>10</v>
      </c>
      <c r="B343" s="1"/>
      <c r="C343" s="7" t="s">
        <v>1158</v>
      </c>
      <c r="D343" s="7" t="s">
        <v>1159</v>
      </c>
      <c r="E343" s="7" t="s">
        <v>1231</v>
      </c>
      <c r="F343" s="3" t="str">
        <f>IFERROR(__xludf.DUMMYFUNCTION("REGEXREPLACE(E343, ""[^A-Za-z0-9]"", """")"),"SexbyAgeTwoorMoreRaces")</f>
        <v>SexbyAgeTwoorMoreRaces</v>
      </c>
      <c r="G343" s="7"/>
      <c r="H343" s="7" t="s">
        <v>1223</v>
      </c>
      <c r="I343" s="1" t="s">
        <v>1312</v>
      </c>
      <c r="J343" s="7" t="s">
        <v>1313</v>
      </c>
      <c r="K343" s="1"/>
      <c r="L343" s="1" t="s">
        <v>1226</v>
      </c>
      <c r="M343" s="1"/>
      <c r="N343" s="1"/>
      <c r="O343" s="1" t="str">
        <f t="shared" si="1"/>
        <v> = 'B01001G_030',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2" t="s">
        <v>10</v>
      </c>
      <c r="B344" s="1"/>
      <c r="C344" s="7" t="s">
        <v>1158</v>
      </c>
      <c r="D344" s="7" t="s">
        <v>1159</v>
      </c>
      <c r="E344" s="7" t="s">
        <v>1231</v>
      </c>
      <c r="F344" s="3" t="str">
        <f>IFERROR(__xludf.DUMMYFUNCTION("REGEXREPLACE(E344, ""[^A-Za-z0-9]"", """")"),"SexbyAgeTwoorMoreRaces")</f>
        <v>SexbyAgeTwoorMoreRaces</v>
      </c>
      <c r="G344" s="7"/>
      <c r="H344" s="7" t="s">
        <v>1227</v>
      </c>
      <c r="I344" s="1" t="s">
        <v>1314</v>
      </c>
      <c r="J344" s="7" t="s">
        <v>1315</v>
      </c>
      <c r="K344" s="1"/>
      <c r="L344" s="1" t="s">
        <v>1230</v>
      </c>
      <c r="M344" s="1"/>
      <c r="N344" s="1"/>
      <c r="O344" s="1" t="str">
        <f t="shared" si="1"/>
        <v> = 'B01001G_031',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2" t="s">
        <v>10</v>
      </c>
      <c r="B345" s="1"/>
      <c r="C345" s="7" t="s">
        <v>1158</v>
      </c>
      <c r="D345" s="7" t="s">
        <v>1159</v>
      </c>
      <c r="E345" s="7" t="s">
        <v>1316</v>
      </c>
      <c r="F345" s="3" t="str">
        <f>IFERROR(__xludf.DUMMYFUNCTION("REGEXREPLACE(E345, ""[^A-Za-z0-9]"", """")"),"SexbyAgeWhiteAloneNotHispanicorLatino")</f>
        <v>SexbyAgeWhiteAloneNotHispanicorLatino</v>
      </c>
      <c r="G345" s="7"/>
      <c r="H345" s="7" t="s">
        <v>16</v>
      </c>
      <c r="I345" s="1" t="s">
        <v>1317</v>
      </c>
      <c r="J345" s="7" t="s">
        <v>1318</v>
      </c>
      <c r="K345" s="1"/>
      <c r="L345" s="1" t="s">
        <v>20</v>
      </c>
      <c r="M345" s="1"/>
      <c r="N345" s="1"/>
      <c r="O345" s="1" t="str">
        <f t="shared" si="1"/>
        <v> = 'B01001H_001',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2" t="s">
        <v>10</v>
      </c>
      <c r="B346" s="1"/>
      <c r="C346" s="7" t="s">
        <v>1158</v>
      </c>
      <c r="D346" s="7" t="s">
        <v>1159</v>
      </c>
      <c r="E346" s="7" t="s">
        <v>1316</v>
      </c>
      <c r="F346" s="3" t="str">
        <f>IFERROR(__xludf.DUMMYFUNCTION("REGEXREPLACE(E346, ""[^A-Za-z0-9]"", """")"),"SexbyAgeWhiteAloneNotHispanicorLatino")</f>
        <v>SexbyAgeWhiteAloneNotHispanicorLatino</v>
      </c>
      <c r="G346" s="7"/>
      <c r="H346" s="7" t="s">
        <v>387</v>
      </c>
      <c r="I346" s="1" t="s">
        <v>1319</v>
      </c>
      <c r="J346" s="7" t="s">
        <v>1320</v>
      </c>
      <c r="K346" s="1"/>
      <c r="L346" s="1" t="s">
        <v>390</v>
      </c>
      <c r="M346" s="1"/>
      <c r="N346" s="1"/>
      <c r="O346" s="1" t="str">
        <f t="shared" si="1"/>
        <v> = 'B01001H_002',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2" t="s">
        <v>10</v>
      </c>
      <c r="B347" s="1"/>
      <c r="C347" s="7" t="s">
        <v>1158</v>
      </c>
      <c r="D347" s="7" t="s">
        <v>1159</v>
      </c>
      <c r="E347" s="7" t="s">
        <v>1316</v>
      </c>
      <c r="F347" s="3" t="str">
        <f>IFERROR(__xludf.DUMMYFUNCTION("REGEXREPLACE(E347, ""[^A-Za-z0-9]"", """")"),"SexbyAgeWhiteAloneNotHispanicorLatino")</f>
        <v>SexbyAgeWhiteAloneNotHispanicorLatino</v>
      </c>
      <c r="G347" s="7"/>
      <c r="H347" s="7" t="s">
        <v>1236</v>
      </c>
      <c r="I347" s="1" t="s">
        <v>1321</v>
      </c>
      <c r="J347" s="7" t="s">
        <v>1322</v>
      </c>
      <c r="K347" s="1"/>
      <c r="L347" s="1" t="s">
        <v>1239</v>
      </c>
      <c r="M347" s="1"/>
      <c r="N347" s="1"/>
      <c r="O347" s="1" t="str">
        <f t="shared" si="1"/>
        <v> = 'B01001H_003',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2" t="s">
        <v>10</v>
      </c>
      <c r="B348" s="1"/>
      <c r="C348" s="7" t="s">
        <v>1158</v>
      </c>
      <c r="D348" s="7" t="s">
        <v>1159</v>
      </c>
      <c r="E348" s="7" t="s">
        <v>1316</v>
      </c>
      <c r="F348" s="3" t="str">
        <f>IFERROR(__xludf.DUMMYFUNCTION("REGEXREPLACE(E348, ""[^A-Za-z0-9]"", """")"),"SexbyAgeWhiteAloneNotHispanicorLatino")</f>
        <v>SexbyAgeWhiteAloneNotHispanicorLatino</v>
      </c>
      <c r="G348" s="7"/>
      <c r="H348" s="7" t="s">
        <v>1240</v>
      </c>
      <c r="I348" s="1" t="s">
        <v>1323</v>
      </c>
      <c r="J348" s="7" t="s">
        <v>1324</v>
      </c>
      <c r="K348" s="1"/>
      <c r="L348" s="1" t="s">
        <v>1243</v>
      </c>
      <c r="M348" s="1"/>
      <c r="N348" s="1"/>
      <c r="O348" s="1" t="str">
        <f t="shared" si="1"/>
        <v> = 'B01001H_004',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2" t="s">
        <v>10</v>
      </c>
      <c r="B349" s="1"/>
      <c r="C349" s="7" t="s">
        <v>1158</v>
      </c>
      <c r="D349" s="7" t="s">
        <v>1159</v>
      </c>
      <c r="E349" s="7" t="s">
        <v>1316</v>
      </c>
      <c r="F349" s="3" t="str">
        <f>IFERROR(__xludf.DUMMYFUNCTION("REGEXREPLACE(E349, ""[^A-Za-z0-9]"", """")"),"SexbyAgeWhiteAloneNotHispanicorLatino")</f>
        <v>SexbyAgeWhiteAloneNotHispanicorLatino</v>
      </c>
      <c r="G349" s="7"/>
      <c r="H349" s="7" t="s">
        <v>1244</v>
      </c>
      <c r="I349" s="1" t="s">
        <v>1325</v>
      </c>
      <c r="J349" s="7" t="s">
        <v>1326</v>
      </c>
      <c r="K349" s="1"/>
      <c r="L349" s="1" t="s">
        <v>1247</v>
      </c>
      <c r="M349" s="1"/>
      <c r="N349" s="1"/>
      <c r="O349" s="1" t="str">
        <f t="shared" si="1"/>
        <v> = 'B01001H_005',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2" t="s">
        <v>10</v>
      </c>
      <c r="B350" s="1"/>
      <c r="C350" s="7" t="s">
        <v>1158</v>
      </c>
      <c r="D350" s="7" t="s">
        <v>1159</v>
      </c>
      <c r="E350" s="7" t="s">
        <v>1316</v>
      </c>
      <c r="F350" s="3" t="str">
        <f>IFERROR(__xludf.DUMMYFUNCTION("REGEXREPLACE(E350, ""[^A-Za-z0-9]"", """")"),"SexbyAgeWhiteAloneNotHispanicorLatino")</f>
        <v>SexbyAgeWhiteAloneNotHispanicorLatino</v>
      </c>
      <c r="G350" s="7"/>
      <c r="H350" s="7" t="s">
        <v>1248</v>
      </c>
      <c r="I350" s="1" t="s">
        <v>1327</v>
      </c>
      <c r="J350" s="7" t="s">
        <v>1328</v>
      </c>
      <c r="K350" s="1"/>
      <c r="L350" s="1" t="s">
        <v>1251</v>
      </c>
      <c r="M350" s="1"/>
      <c r="N350" s="1"/>
      <c r="O350" s="1" t="str">
        <f t="shared" si="1"/>
        <v> = 'B01001H_006',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2" t="s">
        <v>10</v>
      </c>
      <c r="B351" s="1"/>
      <c r="C351" s="7" t="s">
        <v>1158</v>
      </c>
      <c r="D351" s="7" t="s">
        <v>1159</v>
      </c>
      <c r="E351" s="7" t="s">
        <v>1316</v>
      </c>
      <c r="F351" s="3" t="str">
        <f>IFERROR(__xludf.DUMMYFUNCTION("REGEXREPLACE(E351, ""[^A-Za-z0-9]"", """")"),"SexbyAgeWhiteAloneNotHispanicorLatino")</f>
        <v>SexbyAgeWhiteAloneNotHispanicorLatino</v>
      </c>
      <c r="G351" s="7"/>
      <c r="H351" s="7" t="s">
        <v>1252</v>
      </c>
      <c r="I351" s="1" t="s">
        <v>1329</v>
      </c>
      <c r="J351" s="7" t="s">
        <v>1330</v>
      </c>
      <c r="K351" s="1"/>
      <c r="L351" s="1" t="s">
        <v>1255</v>
      </c>
      <c r="M351" s="1"/>
      <c r="N351" s="1"/>
      <c r="O351" s="1" t="str">
        <f t="shared" si="1"/>
        <v> = 'B01001H_007',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2" t="s">
        <v>10</v>
      </c>
      <c r="B352" s="1"/>
      <c r="C352" s="7" t="s">
        <v>1158</v>
      </c>
      <c r="D352" s="7" t="s">
        <v>1159</v>
      </c>
      <c r="E352" s="7" t="s">
        <v>1316</v>
      </c>
      <c r="F352" s="3" t="str">
        <f>IFERROR(__xludf.DUMMYFUNCTION("REGEXREPLACE(E352, ""[^A-Za-z0-9]"", """")"),"SexbyAgeWhiteAloneNotHispanicorLatino")</f>
        <v>SexbyAgeWhiteAloneNotHispanicorLatino</v>
      </c>
      <c r="G352" s="7"/>
      <c r="H352" s="7" t="s">
        <v>1256</v>
      </c>
      <c r="I352" s="1" t="s">
        <v>1331</v>
      </c>
      <c r="J352" s="7" t="s">
        <v>1332</v>
      </c>
      <c r="K352" s="1"/>
      <c r="L352" s="1" t="s">
        <v>1259</v>
      </c>
      <c r="M352" s="1"/>
      <c r="N352" s="1"/>
      <c r="O352" s="1" t="str">
        <f t="shared" si="1"/>
        <v> = 'B01001H_008',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2" t="s">
        <v>10</v>
      </c>
      <c r="B353" s="1"/>
      <c r="C353" s="7" t="s">
        <v>1158</v>
      </c>
      <c r="D353" s="7" t="s">
        <v>1159</v>
      </c>
      <c r="E353" s="7" t="s">
        <v>1316</v>
      </c>
      <c r="F353" s="3" t="str">
        <f>IFERROR(__xludf.DUMMYFUNCTION("REGEXREPLACE(E353, ""[^A-Za-z0-9]"", """")"),"SexbyAgeWhiteAloneNotHispanicorLatino")</f>
        <v>SexbyAgeWhiteAloneNotHispanicorLatino</v>
      </c>
      <c r="G353" s="7"/>
      <c r="H353" s="7" t="s">
        <v>1260</v>
      </c>
      <c r="I353" s="1" t="s">
        <v>1333</v>
      </c>
      <c r="J353" s="7" t="s">
        <v>1334</v>
      </c>
      <c r="K353" s="1"/>
      <c r="L353" s="1" t="s">
        <v>1263</v>
      </c>
      <c r="M353" s="1"/>
      <c r="N353" s="1"/>
      <c r="O353" s="1" t="str">
        <f t="shared" si="1"/>
        <v> = 'B01001H_009',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2" t="s">
        <v>10</v>
      </c>
      <c r="B354" s="1"/>
      <c r="C354" s="7" t="s">
        <v>1158</v>
      </c>
      <c r="D354" s="7" t="s">
        <v>1159</v>
      </c>
      <c r="E354" s="7" t="s">
        <v>1316</v>
      </c>
      <c r="F354" s="3" t="str">
        <f>IFERROR(__xludf.DUMMYFUNCTION("REGEXREPLACE(E354, ""[^A-Za-z0-9]"", """")"),"SexbyAgeWhiteAloneNotHispanicorLatino")</f>
        <v>SexbyAgeWhiteAloneNotHispanicorLatino</v>
      </c>
      <c r="G354" s="7"/>
      <c r="H354" s="7" t="s">
        <v>1264</v>
      </c>
      <c r="I354" s="1" t="s">
        <v>1335</v>
      </c>
      <c r="J354" s="7" t="s">
        <v>1336</v>
      </c>
      <c r="K354" s="1"/>
      <c r="L354" s="1" t="s">
        <v>1267</v>
      </c>
      <c r="M354" s="1"/>
      <c r="N354" s="1"/>
      <c r="O354" s="1" t="str">
        <f t="shared" si="1"/>
        <v> = 'B01001H_010',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2" t="s">
        <v>10</v>
      </c>
      <c r="B355" s="1"/>
      <c r="C355" s="7" t="s">
        <v>1158</v>
      </c>
      <c r="D355" s="7" t="s">
        <v>1159</v>
      </c>
      <c r="E355" s="7" t="s">
        <v>1316</v>
      </c>
      <c r="F355" s="3" t="str">
        <f>IFERROR(__xludf.DUMMYFUNCTION("REGEXREPLACE(E355, ""[^A-Za-z0-9]"", """")"),"SexbyAgeWhiteAloneNotHispanicorLatino")</f>
        <v>SexbyAgeWhiteAloneNotHispanicorLatino</v>
      </c>
      <c r="G355" s="7"/>
      <c r="H355" s="7" t="s">
        <v>1268</v>
      </c>
      <c r="I355" s="1" t="s">
        <v>1337</v>
      </c>
      <c r="J355" s="7" t="s">
        <v>1338</v>
      </c>
      <c r="K355" s="1"/>
      <c r="L355" s="1" t="s">
        <v>1271</v>
      </c>
      <c r="M355" s="1"/>
      <c r="N355" s="1"/>
      <c r="O355" s="1" t="str">
        <f t="shared" si="1"/>
        <v> = 'B01001H_011',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2" t="s">
        <v>10</v>
      </c>
      <c r="B356" s="1"/>
      <c r="C356" s="7" t="s">
        <v>1158</v>
      </c>
      <c r="D356" s="7" t="s">
        <v>1159</v>
      </c>
      <c r="E356" s="7" t="s">
        <v>1316</v>
      </c>
      <c r="F356" s="3" t="str">
        <f>IFERROR(__xludf.DUMMYFUNCTION("REGEXREPLACE(E356, ""[^A-Za-z0-9]"", """")"),"SexbyAgeWhiteAloneNotHispanicorLatino")</f>
        <v>SexbyAgeWhiteAloneNotHispanicorLatino</v>
      </c>
      <c r="G356" s="7"/>
      <c r="H356" s="7" t="s">
        <v>1272</v>
      </c>
      <c r="I356" s="1" t="s">
        <v>1339</v>
      </c>
      <c r="J356" s="7" t="s">
        <v>1340</v>
      </c>
      <c r="K356" s="1"/>
      <c r="L356" s="1" t="s">
        <v>1275</v>
      </c>
      <c r="M356" s="1"/>
      <c r="N356" s="1"/>
      <c r="O356" s="1" t="str">
        <f t="shared" si="1"/>
        <v> = 'B01001H_012',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2" t="s">
        <v>10</v>
      </c>
      <c r="B357" s="1"/>
      <c r="C357" s="7" t="s">
        <v>1158</v>
      </c>
      <c r="D357" s="7" t="s">
        <v>1159</v>
      </c>
      <c r="E357" s="7" t="s">
        <v>1316</v>
      </c>
      <c r="F357" s="3" t="str">
        <f>IFERROR(__xludf.DUMMYFUNCTION("REGEXREPLACE(E357, ""[^A-Za-z0-9]"", """")"),"SexbyAgeWhiteAloneNotHispanicorLatino")</f>
        <v>SexbyAgeWhiteAloneNotHispanicorLatino</v>
      </c>
      <c r="G357" s="7"/>
      <c r="H357" s="7" t="s">
        <v>1276</v>
      </c>
      <c r="I357" s="1" t="s">
        <v>1341</v>
      </c>
      <c r="J357" s="7" t="s">
        <v>1342</v>
      </c>
      <c r="K357" s="1"/>
      <c r="L357" s="1" t="s">
        <v>1279</v>
      </c>
      <c r="M357" s="1"/>
      <c r="N357" s="1"/>
      <c r="O357" s="1" t="str">
        <f t="shared" si="1"/>
        <v> = 'B01001H_013',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2" t="s">
        <v>10</v>
      </c>
      <c r="B358" s="1"/>
      <c r="C358" s="7" t="s">
        <v>1158</v>
      </c>
      <c r="D358" s="7" t="s">
        <v>1159</v>
      </c>
      <c r="E358" s="7" t="s">
        <v>1316</v>
      </c>
      <c r="F358" s="3" t="str">
        <f>IFERROR(__xludf.DUMMYFUNCTION("REGEXREPLACE(E358, ""[^A-Za-z0-9]"", """")"),"SexbyAgeWhiteAloneNotHispanicorLatino")</f>
        <v>SexbyAgeWhiteAloneNotHispanicorLatino</v>
      </c>
      <c r="G358" s="7"/>
      <c r="H358" s="7" t="s">
        <v>1161</v>
      </c>
      <c r="I358" s="1" t="s">
        <v>1343</v>
      </c>
      <c r="J358" s="7" t="s">
        <v>1344</v>
      </c>
      <c r="K358" s="1"/>
      <c r="L358" s="1" t="s">
        <v>1164</v>
      </c>
      <c r="M358" s="1"/>
      <c r="N358" s="1"/>
      <c r="O358" s="1" t="str">
        <f t="shared" si="1"/>
        <v> = 'B01001H_014',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2" t="s">
        <v>10</v>
      </c>
      <c r="B359" s="1"/>
      <c r="C359" s="7" t="s">
        <v>1158</v>
      </c>
      <c r="D359" s="7" t="s">
        <v>1159</v>
      </c>
      <c r="E359" s="7" t="s">
        <v>1316</v>
      </c>
      <c r="F359" s="3" t="str">
        <f>IFERROR(__xludf.DUMMYFUNCTION("REGEXREPLACE(E359, ""[^A-Za-z0-9]"", """")"),"SexbyAgeWhiteAloneNotHispanicorLatino")</f>
        <v>SexbyAgeWhiteAloneNotHispanicorLatino</v>
      </c>
      <c r="G359" s="7"/>
      <c r="H359" s="7" t="s">
        <v>1165</v>
      </c>
      <c r="I359" s="1" t="s">
        <v>1345</v>
      </c>
      <c r="J359" s="7" t="s">
        <v>1346</v>
      </c>
      <c r="K359" s="1"/>
      <c r="L359" s="1" t="s">
        <v>1168</v>
      </c>
      <c r="M359" s="1"/>
      <c r="N359" s="1"/>
      <c r="O359" s="1" t="str">
        <f t="shared" si="1"/>
        <v> = 'B01001H_015',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2" t="s">
        <v>10</v>
      </c>
      <c r="B360" s="1"/>
      <c r="C360" s="7" t="s">
        <v>1158</v>
      </c>
      <c r="D360" s="7" t="s">
        <v>1159</v>
      </c>
      <c r="E360" s="7" t="s">
        <v>1316</v>
      </c>
      <c r="F360" s="3" t="str">
        <f>IFERROR(__xludf.DUMMYFUNCTION("REGEXREPLACE(E360, ""[^A-Za-z0-9]"", """")"),"SexbyAgeWhiteAloneNotHispanicorLatino")</f>
        <v>SexbyAgeWhiteAloneNotHispanicorLatino</v>
      </c>
      <c r="G360" s="7"/>
      <c r="H360" s="7" t="s">
        <v>1169</v>
      </c>
      <c r="I360" s="1" t="s">
        <v>1347</v>
      </c>
      <c r="J360" s="7" t="s">
        <v>1348</v>
      </c>
      <c r="K360" s="1"/>
      <c r="L360" s="1" t="s">
        <v>1172</v>
      </c>
      <c r="M360" s="1"/>
      <c r="N360" s="1"/>
      <c r="O360" s="1" t="str">
        <f t="shared" si="1"/>
        <v> = 'B01001H_016',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2" t="s">
        <v>10</v>
      </c>
      <c r="B361" s="1"/>
      <c r="C361" s="7" t="s">
        <v>1158</v>
      </c>
      <c r="D361" s="7" t="s">
        <v>1159</v>
      </c>
      <c r="E361" s="7" t="s">
        <v>1316</v>
      </c>
      <c r="F361" s="3" t="str">
        <f>IFERROR(__xludf.DUMMYFUNCTION("REGEXREPLACE(E361, ""[^A-Za-z0-9]"", """")"),"SexbyAgeWhiteAloneNotHispanicorLatino")</f>
        <v>SexbyAgeWhiteAloneNotHispanicorLatino</v>
      </c>
      <c r="G361" s="7"/>
      <c r="H361" s="7" t="s">
        <v>452</v>
      </c>
      <c r="I361" s="1" t="s">
        <v>1349</v>
      </c>
      <c r="J361" s="7" t="s">
        <v>1350</v>
      </c>
      <c r="K361" s="1"/>
      <c r="L361" s="1" t="s">
        <v>455</v>
      </c>
      <c r="M361" s="1"/>
      <c r="N361" s="1"/>
      <c r="O361" s="1" t="str">
        <f t="shared" si="1"/>
        <v> = 'B01001H_017',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2" t="s">
        <v>10</v>
      </c>
      <c r="B362" s="1"/>
      <c r="C362" s="7" t="s">
        <v>1158</v>
      </c>
      <c r="D362" s="7" t="s">
        <v>1159</v>
      </c>
      <c r="E362" s="7" t="s">
        <v>1316</v>
      </c>
      <c r="F362" s="3" t="str">
        <f>IFERROR(__xludf.DUMMYFUNCTION("REGEXREPLACE(E362, ""[^A-Za-z0-9]"", """")"),"SexbyAgeWhiteAloneNotHispanicorLatino")</f>
        <v>SexbyAgeWhiteAloneNotHispanicorLatino</v>
      </c>
      <c r="G362" s="7"/>
      <c r="H362" s="7" t="s">
        <v>1175</v>
      </c>
      <c r="I362" s="1" t="s">
        <v>1351</v>
      </c>
      <c r="J362" s="7" t="s">
        <v>1352</v>
      </c>
      <c r="K362" s="1"/>
      <c r="L362" s="1" t="s">
        <v>1178</v>
      </c>
      <c r="M362" s="1"/>
      <c r="N362" s="1"/>
      <c r="O362" s="1" t="str">
        <f t="shared" si="1"/>
        <v> = 'B01001H_018',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2" t="s">
        <v>10</v>
      </c>
      <c r="B363" s="1"/>
      <c r="C363" s="7" t="s">
        <v>1158</v>
      </c>
      <c r="D363" s="7" t="s">
        <v>1159</v>
      </c>
      <c r="E363" s="7" t="s">
        <v>1316</v>
      </c>
      <c r="F363" s="3" t="str">
        <f>IFERROR(__xludf.DUMMYFUNCTION("REGEXREPLACE(E363, ""[^A-Za-z0-9]"", """")"),"SexbyAgeWhiteAloneNotHispanicorLatino")</f>
        <v>SexbyAgeWhiteAloneNotHispanicorLatino</v>
      </c>
      <c r="G363" s="7"/>
      <c r="H363" s="7" t="s">
        <v>1179</v>
      </c>
      <c r="I363" s="1" t="s">
        <v>1353</v>
      </c>
      <c r="J363" s="7" t="s">
        <v>1354</v>
      </c>
      <c r="K363" s="1"/>
      <c r="L363" s="1" t="s">
        <v>1182</v>
      </c>
      <c r="M363" s="1"/>
      <c r="N363" s="1"/>
      <c r="O363" s="1" t="str">
        <f t="shared" si="1"/>
        <v> = 'B01001H_019',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2" t="s">
        <v>10</v>
      </c>
      <c r="B364" s="1"/>
      <c r="C364" s="7" t="s">
        <v>1158</v>
      </c>
      <c r="D364" s="7" t="s">
        <v>1159</v>
      </c>
      <c r="E364" s="7" t="s">
        <v>1316</v>
      </c>
      <c r="F364" s="3" t="str">
        <f>IFERROR(__xludf.DUMMYFUNCTION("REGEXREPLACE(E364, ""[^A-Za-z0-9]"", """")"),"SexbyAgeWhiteAloneNotHispanicorLatino")</f>
        <v>SexbyAgeWhiteAloneNotHispanicorLatino</v>
      </c>
      <c r="G364" s="7"/>
      <c r="H364" s="7" t="s">
        <v>1183</v>
      </c>
      <c r="I364" s="1" t="s">
        <v>1355</v>
      </c>
      <c r="J364" s="7" t="s">
        <v>1356</v>
      </c>
      <c r="K364" s="1"/>
      <c r="L364" s="1" t="s">
        <v>1186</v>
      </c>
      <c r="M364" s="1"/>
      <c r="N364" s="1"/>
      <c r="O364" s="1" t="str">
        <f t="shared" si="1"/>
        <v> = 'B01001H_020',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2" t="s">
        <v>10</v>
      </c>
      <c r="B365" s="1"/>
      <c r="C365" s="7" t="s">
        <v>1158</v>
      </c>
      <c r="D365" s="7" t="s">
        <v>1159</v>
      </c>
      <c r="E365" s="7" t="s">
        <v>1316</v>
      </c>
      <c r="F365" s="3" t="str">
        <f>IFERROR(__xludf.DUMMYFUNCTION("REGEXREPLACE(E365, ""[^A-Za-z0-9]"", """")"),"SexbyAgeWhiteAloneNotHispanicorLatino")</f>
        <v>SexbyAgeWhiteAloneNotHispanicorLatino</v>
      </c>
      <c r="G365" s="7"/>
      <c r="H365" s="7" t="s">
        <v>1187</v>
      </c>
      <c r="I365" s="1" t="s">
        <v>1357</v>
      </c>
      <c r="J365" s="7" t="s">
        <v>1358</v>
      </c>
      <c r="K365" s="1"/>
      <c r="L365" s="1" t="s">
        <v>1190</v>
      </c>
      <c r="M365" s="1"/>
      <c r="N365" s="1"/>
      <c r="O365" s="1" t="str">
        <f t="shared" si="1"/>
        <v> = 'B01001H_021',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2" t="s">
        <v>10</v>
      </c>
      <c r="B366" s="1"/>
      <c r="C366" s="7" t="s">
        <v>1158</v>
      </c>
      <c r="D366" s="7" t="s">
        <v>1159</v>
      </c>
      <c r="E366" s="7" t="s">
        <v>1316</v>
      </c>
      <c r="F366" s="3" t="str">
        <f>IFERROR(__xludf.DUMMYFUNCTION("REGEXREPLACE(E366, ""[^A-Za-z0-9]"", """")"),"SexbyAgeWhiteAloneNotHispanicorLatino")</f>
        <v>SexbyAgeWhiteAloneNotHispanicorLatino</v>
      </c>
      <c r="G366" s="7"/>
      <c r="H366" s="7" t="s">
        <v>1191</v>
      </c>
      <c r="I366" s="1" t="s">
        <v>1359</v>
      </c>
      <c r="J366" s="7" t="s">
        <v>1360</v>
      </c>
      <c r="K366" s="1"/>
      <c r="L366" s="1" t="s">
        <v>1194</v>
      </c>
      <c r="M366" s="1"/>
      <c r="N366" s="1"/>
      <c r="O366" s="1" t="str">
        <f t="shared" si="1"/>
        <v> = 'B01001H_022',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2" t="s">
        <v>10</v>
      </c>
      <c r="B367" s="1"/>
      <c r="C367" s="7" t="s">
        <v>1158</v>
      </c>
      <c r="D367" s="7" t="s">
        <v>1159</v>
      </c>
      <c r="E367" s="7" t="s">
        <v>1316</v>
      </c>
      <c r="F367" s="3" t="str">
        <f>IFERROR(__xludf.DUMMYFUNCTION("REGEXREPLACE(E367, ""[^A-Za-z0-9]"", """")"),"SexbyAgeWhiteAloneNotHispanicorLatino")</f>
        <v>SexbyAgeWhiteAloneNotHispanicorLatino</v>
      </c>
      <c r="G367" s="7"/>
      <c r="H367" s="7" t="s">
        <v>1195</v>
      </c>
      <c r="I367" s="1" t="s">
        <v>1361</v>
      </c>
      <c r="J367" s="7" t="s">
        <v>1362</v>
      </c>
      <c r="K367" s="1"/>
      <c r="L367" s="1" t="s">
        <v>1198</v>
      </c>
      <c r="M367" s="1"/>
      <c r="N367" s="1"/>
      <c r="O367" s="1" t="str">
        <f t="shared" si="1"/>
        <v> = 'B01001H_023',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2" t="s">
        <v>10</v>
      </c>
      <c r="B368" s="1"/>
      <c r="C368" s="7" t="s">
        <v>1158</v>
      </c>
      <c r="D368" s="7" t="s">
        <v>1159</v>
      </c>
      <c r="E368" s="7" t="s">
        <v>1316</v>
      </c>
      <c r="F368" s="3" t="str">
        <f>IFERROR(__xludf.DUMMYFUNCTION("REGEXREPLACE(E368, ""[^A-Za-z0-9]"", """")"),"SexbyAgeWhiteAloneNotHispanicorLatino")</f>
        <v>SexbyAgeWhiteAloneNotHispanicorLatino</v>
      </c>
      <c r="G368" s="7"/>
      <c r="H368" s="7" t="s">
        <v>1199</v>
      </c>
      <c r="I368" s="1" t="s">
        <v>1363</v>
      </c>
      <c r="J368" s="7" t="s">
        <v>1364</v>
      </c>
      <c r="K368" s="1"/>
      <c r="L368" s="1" t="s">
        <v>1202</v>
      </c>
      <c r="M368" s="1"/>
      <c r="N368" s="1"/>
      <c r="O368" s="1" t="str">
        <f t="shared" si="1"/>
        <v> = 'B01001H_024',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2" t="s">
        <v>10</v>
      </c>
      <c r="B369" s="1"/>
      <c r="C369" s="7" t="s">
        <v>1158</v>
      </c>
      <c r="D369" s="7" t="s">
        <v>1159</v>
      </c>
      <c r="E369" s="7" t="s">
        <v>1316</v>
      </c>
      <c r="F369" s="3" t="str">
        <f>IFERROR(__xludf.DUMMYFUNCTION("REGEXREPLACE(E369, ""[^A-Za-z0-9]"", """")"),"SexbyAgeWhiteAloneNotHispanicorLatino")</f>
        <v>SexbyAgeWhiteAloneNotHispanicorLatino</v>
      </c>
      <c r="G369" s="7"/>
      <c r="H369" s="7" t="s">
        <v>1203</v>
      </c>
      <c r="I369" s="1" t="s">
        <v>1365</v>
      </c>
      <c r="J369" s="7" t="s">
        <v>1366</v>
      </c>
      <c r="K369" s="1"/>
      <c r="L369" s="1" t="s">
        <v>1206</v>
      </c>
      <c r="M369" s="1"/>
      <c r="N369" s="1"/>
      <c r="O369" s="1" t="str">
        <f t="shared" si="1"/>
        <v> = 'B01001H_025',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2" t="s">
        <v>10</v>
      </c>
      <c r="B370" s="1"/>
      <c r="C370" s="7" t="s">
        <v>1158</v>
      </c>
      <c r="D370" s="7" t="s">
        <v>1159</v>
      </c>
      <c r="E370" s="7" t="s">
        <v>1316</v>
      </c>
      <c r="F370" s="3" t="str">
        <f>IFERROR(__xludf.DUMMYFUNCTION("REGEXREPLACE(E370, ""[^A-Za-z0-9]"", """")"),"SexbyAgeWhiteAloneNotHispanicorLatino")</f>
        <v>SexbyAgeWhiteAloneNotHispanicorLatino</v>
      </c>
      <c r="G370" s="7"/>
      <c r="H370" s="7" t="s">
        <v>1207</v>
      </c>
      <c r="I370" s="1" t="s">
        <v>1367</v>
      </c>
      <c r="J370" s="7" t="s">
        <v>1368</v>
      </c>
      <c r="K370" s="1"/>
      <c r="L370" s="1" t="s">
        <v>1210</v>
      </c>
      <c r="M370" s="1"/>
      <c r="N370" s="1"/>
      <c r="O370" s="1" t="str">
        <f t="shared" si="1"/>
        <v> = 'B01001H_026',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2" t="s">
        <v>10</v>
      </c>
      <c r="B371" s="1"/>
      <c r="C371" s="7" t="s">
        <v>1158</v>
      </c>
      <c r="D371" s="7" t="s">
        <v>1159</v>
      </c>
      <c r="E371" s="7" t="s">
        <v>1316</v>
      </c>
      <c r="F371" s="3" t="str">
        <f>IFERROR(__xludf.DUMMYFUNCTION("REGEXREPLACE(E371, ""[^A-Za-z0-9]"", """")"),"SexbyAgeWhiteAloneNotHispanicorLatino")</f>
        <v>SexbyAgeWhiteAloneNotHispanicorLatino</v>
      </c>
      <c r="G371" s="7"/>
      <c r="H371" s="7" t="s">
        <v>1211</v>
      </c>
      <c r="I371" s="1" t="s">
        <v>1369</v>
      </c>
      <c r="J371" s="7" t="s">
        <v>1370</v>
      </c>
      <c r="K371" s="1"/>
      <c r="L371" s="1" t="s">
        <v>1214</v>
      </c>
      <c r="M371" s="1"/>
      <c r="N371" s="1"/>
      <c r="O371" s="1" t="str">
        <f t="shared" si="1"/>
        <v> = 'B01001H_027',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2" t="s">
        <v>10</v>
      </c>
      <c r="B372" s="1"/>
      <c r="C372" s="7" t="s">
        <v>1158</v>
      </c>
      <c r="D372" s="7" t="s">
        <v>1159</v>
      </c>
      <c r="E372" s="7" t="s">
        <v>1316</v>
      </c>
      <c r="F372" s="3" t="str">
        <f>IFERROR(__xludf.DUMMYFUNCTION("REGEXREPLACE(E372, ""[^A-Za-z0-9]"", """")"),"SexbyAgeWhiteAloneNotHispanicorLatino")</f>
        <v>SexbyAgeWhiteAloneNotHispanicorLatino</v>
      </c>
      <c r="G372" s="7"/>
      <c r="H372" s="7" t="s">
        <v>1215</v>
      </c>
      <c r="I372" s="1" t="s">
        <v>1371</v>
      </c>
      <c r="J372" s="7" t="s">
        <v>1372</v>
      </c>
      <c r="K372" s="1"/>
      <c r="L372" s="1" t="s">
        <v>1218</v>
      </c>
      <c r="M372" s="1"/>
      <c r="N372" s="1"/>
      <c r="O372" s="1" t="str">
        <f t="shared" si="1"/>
        <v> = 'B01001H_028',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2" t="s">
        <v>10</v>
      </c>
      <c r="B373" s="1"/>
      <c r="C373" s="7" t="s">
        <v>1158</v>
      </c>
      <c r="D373" s="7" t="s">
        <v>1159</v>
      </c>
      <c r="E373" s="7" t="s">
        <v>1316</v>
      </c>
      <c r="F373" s="3" t="str">
        <f>IFERROR(__xludf.DUMMYFUNCTION("REGEXREPLACE(E373, ""[^A-Za-z0-9]"", """")"),"SexbyAgeWhiteAloneNotHispanicorLatino")</f>
        <v>SexbyAgeWhiteAloneNotHispanicorLatino</v>
      </c>
      <c r="G373" s="7"/>
      <c r="H373" s="7" t="s">
        <v>1219</v>
      </c>
      <c r="I373" s="1" t="s">
        <v>1373</v>
      </c>
      <c r="J373" s="7" t="s">
        <v>1374</v>
      </c>
      <c r="K373" s="1"/>
      <c r="L373" s="1" t="s">
        <v>1222</v>
      </c>
      <c r="M373" s="1"/>
      <c r="N373" s="1"/>
      <c r="O373" s="1" t="str">
        <f t="shared" si="1"/>
        <v> = 'B01001H_029',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2" t="s">
        <v>10</v>
      </c>
      <c r="B374" s="1"/>
      <c r="C374" s="7" t="s">
        <v>1158</v>
      </c>
      <c r="D374" s="7" t="s">
        <v>1159</v>
      </c>
      <c r="E374" s="7" t="s">
        <v>1316</v>
      </c>
      <c r="F374" s="3" t="str">
        <f>IFERROR(__xludf.DUMMYFUNCTION("REGEXREPLACE(E374, ""[^A-Za-z0-9]"", """")"),"SexbyAgeWhiteAloneNotHispanicorLatino")</f>
        <v>SexbyAgeWhiteAloneNotHispanicorLatino</v>
      </c>
      <c r="G374" s="7"/>
      <c r="H374" s="7" t="s">
        <v>1223</v>
      </c>
      <c r="I374" s="1" t="s">
        <v>1375</v>
      </c>
      <c r="J374" s="7" t="s">
        <v>1376</v>
      </c>
      <c r="K374" s="1"/>
      <c r="L374" s="1" t="s">
        <v>1226</v>
      </c>
      <c r="M374" s="1"/>
      <c r="N374" s="1"/>
      <c r="O374" s="1" t="str">
        <f t="shared" si="1"/>
        <v> = 'B01001H_030',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2" t="s">
        <v>10</v>
      </c>
      <c r="B375" s="1"/>
      <c r="C375" s="7" t="s">
        <v>1158</v>
      </c>
      <c r="D375" s="7" t="s">
        <v>1159</v>
      </c>
      <c r="E375" s="7" t="s">
        <v>1316</v>
      </c>
      <c r="F375" s="3" t="str">
        <f>IFERROR(__xludf.DUMMYFUNCTION("REGEXREPLACE(E375, ""[^A-Za-z0-9]"", """")"),"SexbyAgeWhiteAloneNotHispanicorLatino")</f>
        <v>SexbyAgeWhiteAloneNotHispanicorLatino</v>
      </c>
      <c r="G375" s="7"/>
      <c r="H375" s="7" t="s">
        <v>1227</v>
      </c>
      <c r="I375" s="1" t="s">
        <v>1377</v>
      </c>
      <c r="J375" s="7" t="s">
        <v>1378</v>
      </c>
      <c r="K375" s="1"/>
      <c r="L375" s="1" t="s">
        <v>1230</v>
      </c>
      <c r="M375" s="1"/>
      <c r="N375" s="1"/>
      <c r="O375" s="1" t="str">
        <f t="shared" si="1"/>
        <v> = 'B01001H_031',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2" t="s">
        <v>10</v>
      </c>
      <c r="B376" s="1"/>
      <c r="C376" s="7" t="s">
        <v>1158</v>
      </c>
      <c r="D376" s="7" t="s">
        <v>1159</v>
      </c>
      <c r="E376" s="7" t="s">
        <v>1379</v>
      </c>
      <c r="F376" s="3" t="str">
        <f>IFERROR(__xludf.DUMMYFUNCTION("REGEXREPLACE(E376, ""[^A-Za-z0-9]"", """")"),"SexbyAgeHispanicorLatino")</f>
        <v>SexbyAgeHispanicorLatino</v>
      </c>
      <c r="G376" s="7"/>
      <c r="H376" s="7" t="s">
        <v>16</v>
      </c>
      <c r="I376" s="1" t="s">
        <v>1380</v>
      </c>
      <c r="J376" s="7" t="s">
        <v>1381</v>
      </c>
      <c r="K376" s="1"/>
      <c r="L376" s="1" t="s">
        <v>20</v>
      </c>
      <c r="M376" s="1"/>
      <c r="N376" s="1"/>
      <c r="O376" s="1" t="str">
        <f t="shared" si="1"/>
        <v> = 'B01001I_001',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2" t="s">
        <v>10</v>
      </c>
      <c r="B377" s="1"/>
      <c r="C377" s="7" t="s">
        <v>1158</v>
      </c>
      <c r="D377" s="7" t="s">
        <v>1159</v>
      </c>
      <c r="E377" s="7" t="s">
        <v>1379</v>
      </c>
      <c r="F377" s="3" t="str">
        <f>IFERROR(__xludf.DUMMYFUNCTION("REGEXREPLACE(E377, ""[^A-Za-z0-9]"", """")"),"SexbyAgeHispanicorLatino")</f>
        <v>SexbyAgeHispanicorLatino</v>
      </c>
      <c r="G377" s="7"/>
      <c r="H377" s="7" t="s">
        <v>387</v>
      </c>
      <c r="I377" s="1" t="s">
        <v>1382</v>
      </c>
      <c r="J377" s="7" t="s">
        <v>1383</v>
      </c>
      <c r="K377" s="1"/>
      <c r="L377" s="1" t="s">
        <v>390</v>
      </c>
      <c r="M377" s="1"/>
      <c r="N377" s="1"/>
      <c r="O377" s="1" t="str">
        <f t="shared" si="1"/>
        <v> = 'B01001I_002',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2" t="s">
        <v>10</v>
      </c>
      <c r="B378" s="1"/>
      <c r="C378" s="7" t="s">
        <v>1158</v>
      </c>
      <c r="D378" s="7" t="s">
        <v>1159</v>
      </c>
      <c r="E378" s="7" t="s">
        <v>1379</v>
      </c>
      <c r="F378" s="3" t="str">
        <f>IFERROR(__xludf.DUMMYFUNCTION("REGEXREPLACE(E378, ""[^A-Za-z0-9]"", """")"),"SexbyAgeHispanicorLatino")</f>
        <v>SexbyAgeHispanicorLatino</v>
      </c>
      <c r="G378" s="7"/>
      <c r="H378" s="7" t="s">
        <v>1236</v>
      </c>
      <c r="I378" s="1" t="s">
        <v>1384</v>
      </c>
      <c r="J378" s="7" t="s">
        <v>1385</v>
      </c>
      <c r="K378" s="1"/>
      <c r="L378" s="1" t="s">
        <v>1239</v>
      </c>
      <c r="M378" s="1"/>
      <c r="N378" s="1"/>
      <c r="O378" s="1" t="str">
        <f t="shared" si="1"/>
        <v> = 'B01001I_003',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2" t="s">
        <v>10</v>
      </c>
      <c r="B379" s="1"/>
      <c r="C379" s="7" t="s">
        <v>1158</v>
      </c>
      <c r="D379" s="7" t="s">
        <v>1159</v>
      </c>
      <c r="E379" s="7" t="s">
        <v>1379</v>
      </c>
      <c r="F379" s="3" t="str">
        <f>IFERROR(__xludf.DUMMYFUNCTION("REGEXREPLACE(E379, ""[^A-Za-z0-9]"", """")"),"SexbyAgeHispanicorLatino")</f>
        <v>SexbyAgeHispanicorLatino</v>
      </c>
      <c r="G379" s="7"/>
      <c r="H379" s="7" t="s">
        <v>1240</v>
      </c>
      <c r="I379" s="1" t="s">
        <v>1386</v>
      </c>
      <c r="J379" s="7" t="s">
        <v>1387</v>
      </c>
      <c r="K379" s="1"/>
      <c r="L379" s="1" t="s">
        <v>1243</v>
      </c>
      <c r="M379" s="1"/>
      <c r="N379" s="1"/>
      <c r="O379" s="1" t="str">
        <f t="shared" si="1"/>
        <v> = 'B01001I_004',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2" t="s">
        <v>10</v>
      </c>
      <c r="B380" s="1"/>
      <c r="C380" s="7" t="s">
        <v>1158</v>
      </c>
      <c r="D380" s="7" t="s">
        <v>1159</v>
      </c>
      <c r="E380" s="7" t="s">
        <v>1379</v>
      </c>
      <c r="F380" s="3" t="str">
        <f>IFERROR(__xludf.DUMMYFUNCTION("REGEXREPLACE(E380, ""[^A-Za-z0-9]"", """")"),"SexbyAgeHispanicorLatino")</f>
        <v>SexbyAgeHispanicorLatino</v>
      </c>
      <c r="G380" s="7"/>
      <c r="H380" s="7" t="s">
        <v>1244</v>
      </c>
      <c r="I380" s="1" t="s">
        <v>1388</v>
      </c>
      <c r="J380" s="7" t="s">
        <v>1389</v>
      </c>
      <c r="K380" s="1"/>
      <c r="L380" s="1" t="s">
        <v>1247</v>
      </c>
      <c r="M380" s="1"/>
      <c r="N380" s="1"/>
      <c r="O380" s="1" t="str">
        <f t="shared" si="1"/>
        <v> = 'B01001I_005',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2" t="s">
        <v>10</v>
      </c>
      <c r="B381" s="1"/>
      <c r="C381" s="7" t="s">
        <v>1158</v>
      </c>
      <c r="D381" s="7" t="s">
        <v>1159</v>
      </c>
      <c r="E381" s="7" t="s">
        <v>1379</v>
      </c>
      <c r="F381" s="3" t="str">
        <f>IFERROR(__xludf.DUMMYFUNCTION("REGEXREPLACE(E381, ""[^A-Za-z0-9]"", """")"),"SexbyAgeHispanicorLatino")</f>
        <v>SexbyAgeHispanicorLatino</v>
      </c>
      <c r="G381" s="7"/>
      <c r="H381" s="7" t="s">
        <v>1248</v>
      </c>
      <c r="I381" s="1" t="s">
        <v>1390</v>
      </c>
      <c r="J381" s="7" t="s">
        <v>1391</v>
      </c>
      <c r="K381" s="1"/>
      <c r="L381" s="1" t="s">
        <v>1251</v>
      </c>
      <c r="M381" s="1"/>
      <c r="N381" s="1"/>
      <c r="O381" s="1" t="str">
        <f t="shared" si="1"/>
        <v> = 'B01001I_006',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2" t="s">
        <v>10</v>
      </c>
      <c r="B382" s="1"/>
      <c r="C382" s="7" t="s">
        <v>1158</v>
      </c>
      <c r="D382" s="7" t="s">
        <v>1159</v>
      </c>
      <c r="E382" s="7" t="s">
        <v>1379</v>
      </c>
      <c r="F382" s="3" t="str">
        <f>IFERROR(__xludf.DUMMYFUNCTION("REGEXREPLACE(E382, ""[^A-Za-z0-9]"", """")"),"SexbyAgeHispanicorLatino")</f>
        <v>SexbyAgeHispanicorLatino</v>
      </c>
      <c r="G382" s="7"/>
      <c r="H382" s="7" t="s">
        <v>1252</v>
      </c>
      <c r="I382" s="1" t="s">
        <v>1392</v>
      </c>
      <c r="J382" s="7" t="s">
        <v>1393</v>
      </c>
      <c r="K382" s="1"/>
      <c r="L382" s="1" t="s">
        <v>1255</v>
      </c>
      <c r="M382" s="1"/>
      <c r="N382" s="1"/>
      <c r="O382" s="1" t="str">
        <f t="shared" si="1"/>
        <v> = 'B01001I_007',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2" t="s">
        <v>10</v>
      </c>
      <c r="B383" s="1"/>
      <c r="C383" s="7" t="s">
        <v>1158</v>
      </c>
      <c r="D383" s="7" t="s">
        <v>1159</v>
      </c>
      <c r="E383" s="7" t="s">
        <v>1379</v>
      </c>
      <c r="F383" s="3" t="str">
        <f>IFERROR(__xludf.DUMMYFUNCTION("REGEXREPLACE(E383, ""[^A-Za-z0-9]"", """")"),"SexbyAgeHispanicorLatino")</f>
        <v>SexbyAgeHispanicorLatino</v>
      </c>
      <c r="G383" s="7"/>
      <c r="H383" s="7" t="s">
        <v>1256</v>
      </c>
      <c r="I383" s="1" t="s">
        <v>1394</v>
      </c>
      <c r="J383" s="7" t="s">
        <v>1395</v>
      </c>
      <c r="K383" s="1"/>
      <c r="L383" s="1" t="s">
        <v>1259</v>
      </c>
      <c r="M383" s="1"/>
      <c r="N383" s="1"/>
      <c r="O383" s="1" t="str">
        <f t="shared" si="1"/>
        <v> = 'B01001I_008',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2" t="s">
        <v>10</v>
      </c>
      <c r="B384" s="1"/>
      <c r="C384" s="7" t="s">
        <v>1158</v>
      </c>
      <c r="D384" s="7" t="s">
        <v>1159</v>
      </c>
      <c r="E384" s="7" t="s">
        <v>1379</v>
      </c>
      <c r="F384" s="3" t="str">
        <f>IFERROR(__xludf.DUMMYFUNCTION("REGEXREPLACE(E384, ""[^A-Za-z0-9]"", """")"),"SexbyAgeHispanicorLatino")</f>
        <v>SexbyAgeHispanicorLatino</v>
      </c>
      <c r="G384" s="7"/>
      <c r="H384" s="7" t="s">
        <v>1260</v>
      </c>
      <c r="I384" s="1" t="s">
        <v>1396</v>
      </c>
      <c r="J384" s="7" t="s">
        <v>1397</v>
      </c>
      <c r="K384" s="1"/>
      <c r="L384" s="1" t="s">
        <v>1263</v>
      </c>
      <c r="M384" s="1"/>
      <c r="N384" s="1"/>
      <c r="O384" s="1" t="str">
        <f t="shared" si="1"/>
        <v> = 'B01001I_009',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2" t="s">
        <v>10</v>
      </c>
      <c r="B385" s="1"/>
      <c r="C385" s="7" t="s">
        <v>1158</v>
      </c>
      <c r="D385" s="7" t="s">
        <v>1159</v>
      </c>
      <c r="E385" s="7" t="s">
        <v>1379</v>
      </c>
      <c r="F385" s="3" t="str">
        <f>IFERROR(__xludf.DUMMYFUNCTION("REGEXREPLACE(E385, ""[^A-Za-z0-9]"", """")"),"SexbyAgeHispanicorLatino")</f>
        <v>SexbyAgeHispanicorLatino</v>
      </c>
      <c r="G385" s="7"/>
      <c r="H385" s="7" t="s">
        <v>1264</v>
      </c>
      <c r="I385" s="1" t="s">
        <v>1398</v>
      </c>
      <c r="J385" s="7" t="s">
        <v>1399</v>
      </c>
      <c r="K385" s="1"/>
      <c r="L385" s="1" t="s">
        <v>1267</v>
      </c>
      <c r="M385" s="1"/>
      <c r="N385" s="1"/>
      <c r="O385" s="1" t="str">
        <f t="shared" si="1"/>
        <v> = 'B01001I_010',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2" t="s">
        <v>10</v>
      </c>
      <c r="B386" s="1"/>
      <c r="C386" s="7" t="s">
        <v>1158</v>
      </c>
      <c r="D386" s="7" t="s">
        <v>1159</v>
      </c>
      <c r="E386" s="7" t="s">
        <v>1379</v>
      </c>
      <c r="F386" s="3" t="str">
        <f>IFERROR(__xludf.DUMMYFUNCTION("REGEXREPLACE(E386, ""[^A-Za-z0-9]"", """")"),"SexbyAgeHispanicorLatino")</f>
        <v>SexbyAgeHispanicorLatino</v>
      </c>
      <c r="G386" s="7"/>
      <c r="H386" s="7" t="s">
        <v>1268</v>
      </c>
      <c r="I386" s="1" t="s">
        <v>1400</v>
      </c>
      <c r="J386" s="7" t="s">
        <v>1401</v>
      </c>
      <c r="K386" s="1"/>
      <c r="L386" s="1" t="s">
        <v>1271</v>
      </c>
      <c r="M386" s="1"/>
      <c r="N386" s="1"/>
      <c r="O386" s="1" t="str">
        <f t="shared" si="1"/>
        <v> = 'B01001I_011',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2" t="s">
        <v>10</v>
      </c>
      <c r="B387" s="1"/>
      <c r="C387" s="7" t="s">
        <v>1158</v>
      </c>
      <c r="D387" s="7" t="s">
        <v>1159</v>
      </c>
      <c r="E387" s="7" t="s">
        <v>1379</v>
      </c>
      <c r="F387" s="3" t="str">
        <f>IFERROR(__xludf.DUMMYFUNCTION("REGEXREPLACE(E387, ""[^A-Za-z0-9]"", """")"),"SexbyAgeHispanicorLatino")</f>
        <v>SexbyAgeHispanicorLatino</v>
      </c>
      <c r="G387" s="7"/>
      <c r="H387" s="7" t="s">
        <v>1272</v>
      </c>
      <c r="I387" s="1" t="s">
        <v>1402</v>
      </c>
      <c r="J387" s="7" t="s">
        <v>1403</v>
      </c>
      <c r="K387" s="1"/>
      <c r="L387" s="1" t="s">
        <v>1275</v>
      </c>
      <c r="M387" s="1"/>
      <c r="N387" s="1"/>
      <c r="O387" s="1" t="str">
        <f t="shared" si="1"/>
        <v> = 'B01001I_012',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2" t="s">
        <v>10</v>
      </c>
      <c r="B388" s="1"/>
      <c r="C388" s="7" t="s">
        <v>1158</v>
      </c>
      <c r="D388" s="7" t="s">
        <v>1159</v>
      </c>
      <c r="E388" s="7" t="s">
        <v>1379</v>
      </c>
      <c r="F388" s="3" t="str">
        <f>IFERROR(__xludf.DUMMYFUNCTION("REGEXREPLACE(E388, ""[^A-Za-z0-9]"", """")"),"SexbyAgeHispanicorLatino")</f>
        <v>SexbyAgeHispanicorLatino</v>
      </c>
      <c r="G388" s="7"/>
      <c r="H388" s="7" t="s">
        <v>1276</v>
      </c>
      <c r="I388" s="1" t="s">
        <v>1404</v>
      </c>
      <c r="J388" s="7" t="s">
        <v>1405</v>
      </c>
      <c r="K388" s="1"/>
      <c r="L388" s="1" t="s">
        <v>1279</v>
      </c>
      <c r="M388" s="1"/>
      <c r="N388" s="1"/>
      <c r="O388" s="1" t="str">
        <f t="shared" si="1"/>
        <v> = 'B01001I_013',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2" t="s">
        <v>10</v>
      </c>
      <c r="B389" s="1"/>
      <c r="C389" s="7" t="s">
        <v>1158</v>
      </c>
      <c r="D389" s="7" t="s">
        <v>1159</v>
      </c>
      <c r="E389" s="7" t="s">
        <v>1379</v>
      </c>
      <c r="F389" s="3" t="str">
        <f>IFERROR(__xludf.DUMMYFUNCTION("REGEXREPLACE(E389, ""[^A-Za-z0-9]"", """")"),"SexbyAgeHispanicorLatino")</f>
        <v>SexbyAgeHispanicorLatino</v>
      </c>
      <c r="G389" s="7"/>
      <c r="H389" s="7" t="s">
        <v>1161</v>
      </c>
      <c r="I389" s="1" t="s">
        <v>1406</v>
      </c>
      <c r="J389" s="7" t="s">
        <v>1407</v>
      </c>
      <c r="K389" s="1"/>
      <c r="L389" s="1" t="s">
        <v>1164</v>
      </c>
      <c r="M389" s="1"/>
      <c r="N389" s="1"/>
      <c r="O389" s="1" t="str">
        <f t="shared" si="1"/>
        <v> = 'B01001I_014',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2" t="s">
        <v>10</v>
      </c>
      <c r="B390" s="1"/>
      <c r="C390" s="7" t="s">
        <v>1158</v>
      </c>
      <c r="D390" s="7" t="s">
        <v>1159</v>
      </c>
      <c r="E390" s="7" t="s">
        <v>1379</v>
      </c>
      <c r="F390" s="3" t="str">
        <f>IFERROR(__xludf.DUMMYFUNCTION("REGEXREPLACE(E390, ""[^A-Za-z0-9]"", """")"),"SexbyAgeHispanicorLatino")</f>
        <v>SexbyAgeHispanicorLatino</v>
      </c>
      <c r="G390" s="7"/>
      <c r="H390" s="7" t="s">
        <v>1165</v>
      </c>
      <c r="I390" s="1" t="s">
        <v>1408</v>
      </c>
      <c r="J390" s="7" t="s">
        <v>1409</v>
      </c>
      <c r="K390" s="1"/>
      <c r="L390" s="1" t="s">
        <v>1168</v>
      </c>
      <c r="M390" s="1"/>
      <c r="N390" s="1"/>
      <c r="O390" s="1" t="str">
        <f t="shared" si="1"/>
        <v> = 'B01001I_015',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2" t="s">
        <v>10</v>
      </c>
      <c r="B391" s="1"/>
      <c r="C391" s="7" t="s">
        <v>1158</v>
      </c>
      <c r="D391" s="7" t="s">
        <v>1159</v>
      </c>
      <c r="E391" s="7" t="s">
        <v>1379</v>
      </c>
      <c r="F391" s="3" t="str">
        <f>IFERROR(__xludf.DUMMYFUNCTION("REGEXREPLACE(E391, ""[^A-Za-z0-9]"", """")"),"SexbyAgeHispanicorLatino")</f>
        <v>SexbyAgeHispanicorLatino</v>
      </c>
      <c r="G391" s="7"/>
      <c r="H391" s="7" t="s">
        <v>1169</v>
      </c>
      <c r="I391" s="1" t="s">
        <v>1410</v>
      </c>
      <c r="J391" s="7" t="s">
        <v>1411</v>
      </c>
      <c r="K391" s="1"/>
      <c r="L391" s="1" t="s">
        <v>1172</v>
      </c>
      <c r="M391" s="1"/>
      <c r="N391" s="1"/>
      <c r="O391" s="1" t="str">
        <f t="shared" si="1"/>
        <v> = 'B01001I_016',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2" t="s">
        <v>10</v>
      </c>
      <c r="B392" s="1"/>
      <c r="C392" s="7" t="s">
        <v>1158</v>
      </c>
      <c r="D392" s="7" t="s">
        <v>1159</v>
      </c>
      <c r="E392" s="7" t="s">
        <v>1379</v>
      </c>
      <c r="F392" s="3" t="str">
        <f>IFERROR(__xludf.DUMMYFUNCTION("REGEXREPLACE(E392, ""[^A-Za-z0-9]"", """")"),"SexbyAgeHispanicorLatino")</f>
        <v>SexbyAgeHispanicorLatino</v>
      </c>
      <c r="G392" s="7"/>
      <c r="H392" s="7" t="s">
        <v>452</v>
      </c>
      <c r="I392" s="1" t="s">
        <v>1412</v>
      </c>
      <c r="J392" s="7" t="s">
        <v>1413</v>
      </c>
      <c r="K392" s="1"/>
      <c r="L392" s="1" t="s">
        <v>455</v>
      </c>
      <c r="M392" s="1"/>
      <c r="N392" s="1"/>
      <c r="O392" s="1" t="str">
        <f t="shared" si="1"/>
        <v> = 'B01001I_017',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2" t="s">
        <v>10</v>
      </c>
      <c r="B393" s="1"/>
      <c r="C393" s="7" t="s">
        <v>1158</v>
      </c>
      <c r="D393" s="7" t="s">
        <v>1159</v>
      </c>
      <c r="E393" s="7" t="s">
        <v>1379</v>
      </c>
      <c r="F393" s="3" t="str">
        <f>IFERROR(__xludf.DUMMYFUNCTION("REGEXREPLACE(E393, ""[^A-Za-z0-9]"", """")"),"SexbyAgeHispanicorLatino")</f>
        <v>SexbyAgeHispanicorLatino</v>
      </c>
      <c r="G393" s="7"/>
      <c r="H393" s="7" t="s">
        <v>1175</v>
      </c>
      <c r="I393" s="1" t="s">
        <v>1414</v>
      </c>
      <c r="J393" s="7" t="s">
        <v>1415</v>
      </c>
      <c r="K393" s="1"/>
      <c r="L393" s="1" t="s">
        <v>1178</v>
      </c>
      <c r="M393" s="1"/>
      <c r="N393" s="1"/>
      <c r="O393" s="1" t="str">
        <f t="shared" si="1"/>
        <v> = 'B01001I_018',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2" t="s">
        <v>10</v>
      </c>
      <c r="B394" s="1"/>
      <c r="C394" s="7" t="s">
        <v>1158</v>
      </c>
      <c r="D394" s="7" t="s">
        <v>1159</v>
      </c>
      <c r="E394" s="7" t="s">
        <v>1379</v>
      </c>
      <c r="F394" s="3" t="str">
        <f>IFERROR(__xludf.DUMMYFUNCTION("REGEXREPLACE(E394, ""[^A-Za-z0-9]"", """")"),"SexbyAgeHispanicorLatino")</f>
        <v>SexbyAgeHispanicorLatino</v>
      </c>
      <c r="G394" s="7"/>
      <c r="H394" s="7" t="s">
        <v>1179</v>
      </c>
      <c r="I394" s="1" t="s">
        <v>1416</v>
      </c>
      <c r="J394" s="7" t="s">
        <v>1417</v>
      </c>
      <c r="K394" s="1"/>
      <c r="L394" s="1" t="s">
        <v>1182</v>
      </c>
      <c r="M394" s="1"/>
      <c r="N394" s="1"/>
      <c r="O394" s="1" t="str">
        <f t="shared" si="1"/>
        <v> = 'B01001I_019',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2" t="s">
        <v>10</v>
      </c>
      <c r="B395" s="1"/>
      <c r="C395" s="7" t="s">
        <v>1158</v>
      </c>
      <c r="D395" s="7" t="s">
        <v>1159</v>
      </c>
      <c r="E395" s="7" t="s">
        <v>1379</v>
      </c>
      <c r="F395" s="3" t="str">
        <f>IFERROR(__xludf.DUMMYFUNCTION("REGEXREPLACE(E395, ""[^A-Za-z0-9]"", """")"),"SexbyAgeHispanicorLatino")</f>
        <v>SexbyAgeHispanicorLatino</v>
      </c>
      <c r="G395" s="7"/>
      <c r="H395" s="7" t="s">
        <v>1183</v>
      </c>
      <c r="I395" s="1" t="s">
        <v>1418</v>
      </c>
      <c r="J395" s="7" t="s">
        <v>1419</v>
      </c>
      <c r="K395" s="1"/>
      <c r="L395" s="1" t="s">
        <v>1186</v>
      </c>
      <c r="M395" s="1"/>
      <c r="N395" s="1"/>
      <c r="O395" s="1" t="str">
        <f t="shared" si="1"/>
        <v> = 'B01001I_020',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2" t="s">
        <v>10</v>
      </c>
      <c r="B396" s="1"/>
      <c r="C396" s="7" t="s">
        <v>1158</v>
      </c>
      <c r="D396" s="7" t="s">
        <v>1159</v>
      </c>
      <c r="E396" s="7" t="s">
        <v>1379</v>
      </c>
      <c r="F396" s="3" t="str">
        <f>IFERROR(__xludf.DUMMYFUNCTION("REGEXREPLACE(E396, ""[^A-Za-z0-9]"", """")"),"SexbyAgeHispanicorLatino")</f>
        <v>SexbyAgeHispanicorLatino</v>
      </c>
      <c r="G396" s="7"/>
      <c r="H396" s="7" t="s">
        <v>1187</v>
      </c>
      <c r="I396" s="1" t="s">
        <v>1420</v>
      </c>
      <c r="J396" s="7" t="s">
        <v>1421</v>
      </c>
      <c r="K396" s="1"/>
      <c r="L396" s="1" t="s">
        <v>1190</v>
      </c>
      <c r="M396" s="1"/>
      <c r="N396" s="1"/>
      <c r="O396" s="1" t="str">
        <f t="shared" si="1"/>
        <v> = 'B01001I_021',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2" t="s">
        <v>10</v>
      </c>
      <c r="B397" s="1"/>
      <c r="C397" s="7" t="s">
        <v>1158</v>
      </c>
      <c r="D397" s="7" t="s">
        <v>1159</v>
      </c>
      <c r="E397" s="7" t="s">
        <v>1379</v>
      </c>
      <c r="F397" s="3" t="str">
        <f>IFERROR(__xludf.DUMMYFUNCTION("REGEXREPLACE(E397, ""[^A-Za-z0-9]"", """")"),"SexbyAgeHispanicorLatino")</f>
        <v>SexbyAgeHispanicorLatino</v>
      </c>
      <c r="G397" s="7"/>
      <c r="H397" s="7" t="s">
        <v>1191</v>
      </c>
      <c r="I397" s="1" t="s">
        <v>1422</v>
      </c>
      <c r="J397" s="7" t="s">
        <v>1423</v>
      </c>
      <c r="K397" s="1"/>
      <c r="L397" s="1" t="s">
        <v>1194</v>
      </c>
      <c r="M397" s="1"/>
      <c r="N397" s="1"/>
      <c r="O397" s="1" t="str">
        <f t="shared" si="1"/>
        <v> = 'B01001I_022',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2" t="s">
        <v>10</v>
      </c>
      <c r="B398" s="1"/>
      <c r="C398" s="7" t="s">
        <v>1158</v>
      </c>
      <c r="D398" s="7" t="s">
        <v>1159</v>
      </c>
      <c r="E398" s="7" t="s">
        <v>1379</v>
      </c>
      <c r="F398" s="3" t="str">
        <f>IFERROR(__xludf.DUMMYFUNCTION("REGEXREPLACE(E398, ""[^A-Za-z0-9]"", """")"),"SexbyAgeHispanicorLatino")</f>
        <v>SexbyAgeHispanicorLatino</v>
      </c>
      <c r="G398" s="7"/>
      <c r="H398" s="7" t="s">
        <v>1195</v>
      </c>
      <c r="I398" s="1" t="s">
        <v>1424</v>
      </c>
      <c r="J398" s="7" t="s">
        <v>1425</v>
      </c>
      <c r="K398" s="1"/>
      <c r="L398" s="1" t="s">
        <v>1198</v>
      </c>
      <c r="M398" s="1"/>
      <c r="N398" s="1"/>
      <c r="O398" s="1" t="str">
        <f t="shared" si="1"/>
        <v> = 'B01001I_023',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2" t="s">
        <v>10</v>
      </c>
      <c r="B399" s="1"/>
      <c r="C399" s="7" t="s">
        <v>1158</v>
      </c>
      <c r="D399" s="7" t="s">
        <v>1159</v>
      </c>
      <c r="E399" s="7" t="s">
        <v>1379</v>
      </c>
      <c r="F399" s="3" t="str">
        <f>IFERROR(__xludf.DUMMYFUNCTION("REGEXREPLACE(E399, ""[^A-Za-z0-9]"", """")"),"SexbyAgeHispanicorLatino")</f>
        <v>SexbyAgeHispanicorLatino</v>
      </c>
      <c r="G399" s="7"/>
      <c r="H399" s="7" t="s">
        <v>1199</v>
      </c>
      <c r="I399" s="1" t="s">
        <v>1426</v>
      </c>
      <c r="J399" s="7" t="s">
        <v>1427</v>
      </c>
      <c r="K399" s="1"/>
      <c r="L399" s="1" t="s">
        <v>1202</v>
      </c>
      <c r="M399" s="1"/>
      <c r="N399" s="1"/>
      <c r="O399" s="1" t="str">
        <f t="shared" si="1"/>
        <v> = 'B01001I_024',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2" t="s">
        <v>10</v>
      </c>
      <c r="B400" s="1"/>
      <c r="C400" s="7" t="s">
        <v>1158</v>
      </c>
      <c r="D400" s="7" t="s">
        <v>1159</v>
      </c>
      <c r="E400" s="7" t="s">
        <v>1379</v>
      </c>
      <c r="F400" s="3" t="str">
        <f>IFERROR(__xludf.DUMMYFUNCTION("REGEXREPLACE(E400, ""[^A-Za-z0-9]"", """")"),"SexbyAgeHispanicorLatino")</f>
        <v>SexbyAgeHispanicorLatino</v>
      </c>
      <c r="G400" s="7"/>
      <c r="H400" s="7" t="s">
        <v>1203</v>
      </c>
      <c r="I400" s="1" t="s">
        <v>1428</v>
      </c>
      <c r="J400" s="7" t="s">
        <v>1429</v>
      </c>
      <c r="K400" s="1"/>
      <c r="L400" s="1" t="s">
        <v>1206</v>
      </c>
      <c r="M400" s="1"/>
      <c r="N400" s="1"/>
      <c r="O400" s="1" t="str">
        <f t="shared" si="1"/>
        <v> = 'B01001I_025',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2" t="s">
        <v>10</v>
      </c>
      <c r="B401" s="1"/>
      <c r="C401" s="7" t="s">
        <v>1158</v>
      </c>
      <c r="D401" s="7" t="s">
        <v>1159</v>
      </c>
      <c r="E401" s="7" t="s">
        <v>1379</v>
      </c>
      <c r="F401" s="3" t="str">
        <f>IFERROR(__xludf.DUMMYFUNCTION("REGEXREPLACE(E401, ""[^A-Za-z0-9]"", """")"),"SexbyAgeHispanicorLatino")</f>
        <v>SexbyAgeHispanicorLatino</v>
      </c>
      <c r="G401" s="7"/>
      <c r="H401" s="7" t="s">
        <v>1207</v>
      </c>
      <c r="I401" s="1" t="s">
        <v>1430</v>
      </c>
      <c r="J401" s="7" t="s">
        <v>1431</v>
      </c>
      <c r="K401" s="1"/>
      <c r="L401" s="1" t="s">
        <v>1210</v>
      </c>
      <c r="M401" s="1"/>
      <c r="N401" s="1"/>
      <c r="O401" s="1" t="str">
        <f t="shared" si="1"/>
        <v> = 'B01001I_026',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2" t="s">
        <v>10</v>
      </c>
      <c r="B402" s="1"/>
      <c r="C402" s="7" t="s">
        <v>1158</v>
      </c>
      <c r="D402" s="7" t="s">
        <v>1159</v>
      </c>
      <c r="E402" s="7" t="s">
        <v>1379</v>
      </c>
      <c r="F402" s="3" t="str">
        <f>IFERROR(__xludf.DUMMYFUNCTION("REGEXREPLACE(E402, ""[^A-Za-z0-9]"", """")"),"SexbyAgeHispanicorLatino")</f>
        <v>SexbyAgeHispanicorLatino</v>
      </c>
      <c r="G402" s="7"/>
      <c r="H402" s="7" t="s">
        <v>1211</v>
      </c>
      <c r="I402" s="1" t="s">
        <v>1432</v>
      </c>
      <c r="J402" s="7" t="s">
        <v>1433</v>
      </c>
      <c r="K402" s="1"/>
      <c r="L402" s="1" t="s">
        <v>1214</v>
      </c>
      <c r="M402" s="1"/>
      <c r="N402" s="1"/>
      <c r="O402" s="1" t="str">
        <f t="shared" si="1"/>
        <v> = 'B01001I_027',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2" t="s">
        <v>10</v>
      </c>
      <c r="B403" s="1"/>
      <c r="C403" s="7" t="s">
        <v>1158</v>
      </c>
      <c r="D403" s="7" t="s">
        <v>1159</v>
      </c>
      <c r="E403" s="7" t="s">
        <v>1379</v>
      </c>
      <c r="F403" s="3" t="str">
        <f>IFERROR(__xludf.DUMMYFUNCTION("REGEXREPLACE(E403, ""[^A-Za-z0-9]"", """")"),"SexbyAgeHispanicorLatino")</f>
        <v>SexbyAgeHispanicorLatino</v>
      </c>
      <c r="G403" s="7"/>
      <c r="H403" s="7" t="s">
        <v>1215</v>
      </c>
      <c r="I403" s="1" t="s">
        <v>1434</v>
      </c>
      <c r="J403" s="7" t="s">
        <v>1435</v>
      </c>
      <c r="K403" s="1"/>
      <c r="L403" s="1" t="s">
        <v>1218</v>
      </c>
      <c r="M403" s="1"/>
      <c r="N403" s="1"/>
      <c r="O403" s="1" t="str">
        <f t="shared" si="1"/>
        <v> = 'B01001I_028',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2" t="s">
        <v>10</v>
      </c>
      <c r="B404" s="1"/>
      <c r="C404" s="7" t="s">
        <v>1158</v>
      </c>
      <c r="D404" s="7" t="s">
        <v>1159</v>
      </c>
      <c r="E404" s="7" t="s">
        <v>1379</v>
      </c>
      <c r="F404" s="3" t="str">
        <f>IFERROR(__xludf.DUMMYFUNCTION("REGEXREPLACE(E404, ""[^A-Za-z0-9]"", """")"),"SexbyAgeHispanicorLatino")</f>
        <v>SexbyAgeHispanicorLatino</v>
      </c>
      <c r="G404" s="7"/>
      <c r="H404" s="7" t="s">
        <v>1219</v>
      </c>
      <c r="I404" s="1" t="s">
        <v>1436</v>
      </c>
      <c r="J404" s="7" t="s">
        <v>1437</v>
      </c>
      <c r="K404" s="1"/>
      <c r="L404" s="1" t="s">
        <v>1222</v>
      </c>
      <c r="M404" s="1"/>
      <c r="N404" s="1"/>
      <c r="O404" s="1" t="str">
        <f t="shared" si="1"/>
        <v> = 'B01001I_029',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2" t="s">
        <v>10</v>
      </c>
      <c r="B405" s="1"/>
      <c r="C405" s="7" t="s">
        <v>1158</v>
      </c>
      <c r="D405" s="7" t="s">
        <v>1159</v>
      </c>
      <c r="E405" s="7" t="s">
        <v>1379</v>
      </c>
      <c r="F405" s="3" t="str">
        <f>IFERROR(__xludf.DUMMYFUNCTION("REGEXREPLACE(E405, ""[^A-Za-z0-9]"", """")"),"SexbyAgeHispanicorLatino")</f>
        <v>SexbyAgeHispanicorLatino</v>
      </c>
      <c r="G405" s="7"/>
      <c r="H405" s="7" t="s">
        <v>1223</v>
      </c>
      <c r="I405" s="1" t="s">
        <v>1438</v>
      </c>
      <c r="J405" s="7" t="s">
        <v>1439</v>
      </c>
      <c r="K405" s="1"/>
      <c r="L405" s="1" t="s">
        <v>1226</v>
      </c>
      <c r="M405" s="1"/>
      <c r="N405" s="1"/>
      <c r="O405" s="1" t="str">
        <f t="shared" si="1"/>
        <v> = 'B01001I_030',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2" t="s">
        <v>10</v>
      </c>
      <c r="B406" s="1"/>
      <c r="C406" s="7" t="s">
        <v>1158</v>
      </c>
      <c r="D406" s="7" t="s">
        <v>1159</v>
      </c>
      <c r="E406" s="7" t="s">
        <v>1379</v>
      </c>
      <c r="F406" s="3" t="str">
        <f>IFERROR(__xludf.DUMMYFUNCTION("REGEXREPLACE(E406, ""[^A-Za-z0-9]"", """")"),"SexbyAgeHispanicorLatino")</f>
        <v>SexbyAgeHispanicorLatino</v>
      </c>
      <c r="G406" s="7"/>
      <c r="H406" s="7" t="s">
        <v>1227</v>
      </c>
      <c r="I406" s="1" t="s">
        <v>1440</v>
      </c>
      <c r="J406" s="7" t="s">
        <v>1441</v>
      </c>
      <c r="K406" s="1"/>
      <c r="L406" s="1" t="s">
        <v>1230</v>
      </c>
      <c r="M406" s="1"/>
      <c r="N406" s="1"/>
      <c r="O406" s="1" t="str">
        <f t="shared" si="1"/>
        <v> = 'B01001I_031',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2" t="s">
        <v>10</v>
      </c>
      <c r="B407" s="1"/>
      <c r="C407" s="7" t="s">
        <v>613</v>
      </c>
      <c r="D407" s="7" t="s">
        <v>1159</v>
      </c>
      <c r="E407" s="7" t="s">
        <v>1442</v>
      </c>
      <c r="F407" s="3" t="str">
        <f>IFERROR(__xludf.DUMMYFUNCTION("REGEXREPLACE(E407, ""[^A-Za-z0-9]"", """")"),"SexbyAge")</f>
        <v>SexbyAge</v>
      </c>
      <c r="G407" s="7"/>
      <c r="H407" s="7" t="s">
        <v>16</v>
      </c>
      <c r="I407" s="1" t="s">
        <v>1443</v>
      </c>
      <c r="J407" s="7" t="s">
        <v>1444</v>
      </c>
      <c r="K407" s="1"/>
      <c r="L407" s="1" t="s">
        <v>20</v>
      </c>
      <c r="M407" s="1"/>
      <c r="N407" s="1"/>
      <c r="O407" s="1" t="str">
        <f t="shared" si="1"/>
        <v> = 'B01001_001',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2" t="s">
        <v>10</v>
      </c>
      <c r="B408" s="1"/>
      <c r="C408" s="7" t="s">
        <v>613</v>
      </c>
      <c r="D408" s="7" t="s">
        <v>1159</v>
      </c>
      <c r="E408" s="7" t="s">
        <v>1442</v>
      </c>
      <c r="F408" s="3" t="str">
        <f>IFERROR(__xludf.DUMMYFUNCTION("REGEXREPLACE(E408, ""[^A-Za-z0-9]"", """")"),"SexbyAge")</f>
        <v>SexbyAge</v>
      </c>
      <c r="G408" s="7"/>
      <c r="H408" s="7" t="s">
        <v>387</v>
      </c>
      <c r="I408" s="1" t="s">
        <v>1445</v>
      </c>
      <c r="J408" s="7" t="s">
        <v>1446</v>
      </c>
      <c r="K408" s="1"/>
      <c r="L408" s="1" t="s">
        <v>390</v>
      </c>
      <c r="M408" s="1"/>
      <c r="N408" s="1"/>
      <c r="O408" s="1" t="str">
        <f t="shared" si="1"/>
        <v> = 'B01001_002',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2" t="s">
        <v>10</v>
      </c>
      <c r="B409" s="1"/>
      <c r="C409" s="7" t="s">
        <v>613</v>
      </c>
      <c r="D409" s="7" t="s">
        <v>1159</v>
      </c>
      <c r="E409" s="7" t="s">
        <v>1442</v>
      </c>
      <c r="F409" s="3" t="str">
        <f>IFERROR(__xludf.DUMMYFUNCTION("REGEXREPLACE(E409, ""[^A-Za-z0-9]"", """")"),"SexbyAge")</f>
        <v>SexbyAge</v>
      </c>
      <c r="G409" s="7"/>
      <c r="H409" s="7" t="s">
        <v>1236</v>
      </c>
      <c r="I409" s="1" t="s">
        <v>1447</v>
      </c>
      <c r="J409" s="7" t="s">
        <v>1448</v>
      </c>
      <c r="K409" s="1"/>
      <c r="L409" s="1" t="s">
        <v>1239</v>
      </c>
      <c r="M409" s="1"/>
      <c r="N409" s="1"/>
      <c r="O409" s="1" t="str">
        <f t="shared" si="1"/>
        <v> = 'B01001_003',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2" t="s">
        <v>10</v>
      </c>
      <c r="B410" s="1"/>
      <c r="C410" s="7" t="s">
        <v>613</v>
      </c>
      <c r="D410" s="7" t="s">
        <v>1159</v>
      </c>
      <c r="E410" s="7" t="s">
        <v>1442</v>
      </c>
      <c r="F410" s="3" t="str">
        <f>IFERROR(__xludf.DUMMYFUNCTION("REGEXREPLACE(E410, ""[^A-Za-z0-9]"", """")"),"SexbyAge")</f>
        <v>SexbyAge</v>
      </c>
      <c r="G410" s="7"/>
      <c r="H410" s="7" t="s">
        <v>1240</v>
      </c>
      <c r="I410" s="1" t="s">
        <v>1449</v>
      </c>
      <c r="J410" s="7" t="s">
        <v>1450</v>
      </c>
      <c r="K410" s="1"/>
      <c r="L410" s="1" t="s">
        <v>1243</v>
      </c>
      <c r="M410" s="1"/>
      <c r="N410" s="1"/>
      <c r="O410" s="1" t="str">
        <f t="shared" si="1"/>
        <v> = 'B01001_004',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2" t="s">
        <v>10</v>
      </c>
      <c r="B411" s="1"/>
      <c r="C411" s="7" t="s">
        <v>613</v>
      </c>
      <c r="D411" s="7" t="s">
        <v>1159</v>
      </c>
      <c r="E411" s="7" t="s">
        <v>1442</v>
      </c>
      <c r="F411" s="3" t="str">
        <f>IFERROR(__xludf.DUMMYFUNCTION("REGEXREPLACE(E411, ""[^A-Za-z0-9]"", """")"),"SexbyAge")</f>
        <v>SexbyAge</v>
      </c>
      <c r="G411" s="7"/>
      <c r="H411" s="7" t="s">
        <v>1244</v>
      </c>
      <c r="I411" s="1" t="s">
        <v>1451</v>
      </c>
      <c r="J411" s="7" t="s">
        <v>1452</v>
      </c>
      <c r="K411" s="1"/>
      <c r="L411" s="1" t="s">
        <v>1247</v>
      </c>
      <c r="M411" s="1"/>
      <c r="N411" s="1"/>
      <c r="O411" s="1" t="str">
        <f t="shared" si="1"/>
        <v> = 'B01001_005',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2" t="s">
        <v>10</v>
      </c>
      <c r="B412" s="1"/>
      <c r="C412" s="7" t="s">
        <v>613</v>
      </c>
      <c r="D412" s="7" t="s">
        <v>1159</v>
      </c>
      <c r="E412" s="7" t="s">
        <v>1442</v>
      </c>
      <c r="F412" s="3" t="str">
        <f>IFERROR(__xludf.DUMMYFUNCTION("REGEXREPLACE(E412, ""[^A-Za-z0-9]"", """")"),"SexbyAge")</f>
        <v>SexbyAge</v>
      </c>
      <c r="G412" s="7"/>
      <c r="H412" s="7" t="s">
        <v>1248</v>
      </c>
      <c r="I412" s="1" t="s">
        <v>1453</v>
      </c>
      <c r="J412" s="7" t="s">
        <v>1454</v>
      </c>
      <c r="K412" s="1"/>
      <c r="L412" s="1" t="s">
        <v>1251</v>
      </c>
      <c r="M412" s="1"/>
      <c r="N412" s="1"/>
      <c r="O412" s="1" t="str">
        <f t="shared" si="1"/>
        <v> = 'B01001_006',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2" t="s">
        <v>10</v>
      </c>
      <c r="B413" s="1"/>
      <c r="C413" s="7" t="s">
        <v>613</v>
      </c>
      <c r="D413" s="7" t="s">
        <v>1159</v>
      </c>
      <c r="E413" s="7" t="s">
        <v>1442</v>
      </c>
      <c r="F413" s="3" t="str">
        <f>IFERROR(__xludf.DUMMYFUNCTION("REGEXREPLACE(E413, ""[^A-Za-z0-9]"", """")"),"SexbyAge")</f>
        <v>SexbyAge</v>
      </c>
      <c r="G413" s="7"/>
      <c r="H413" s="7" t="s">
        <v>1252</v>
      </c>
      <c r="I413" s="1" t="s">
        <v>1455</v>
      </c>
      <c r="J413" s="7" t="s">
        <v>1456</v>
      </c>
      <c r="K413" s="1"/>
      <c r="L413" s="1" t="s">
        <v>1255</v>
      </c>
      <c r="M413" s="1"/>
      <c r="N413" s="1"/>
      <c r="O413" s="1" t="str">
        <f t="shared" si="1"/>
        <v> = 'B01001_007',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2" t="s">
        <v>10</v>
      </c>
      <c r="B414" s="1"/>
      <c r="C414" s="7" t="s">
        <v>613</v>
      </c>
      <c r="D414" s="7" t="s">
        <v>1159</v>
      </c>
      <c r="E414" s="7" t="s">
        <v>1442</v>
      </c>
      <c r="F414" s="3" t="str">
        <f>IFERROR(__xludf.DUMMYFUNCTION("REGEXREPLACE(E414, ""[^A-Za-z0-9]"", """")"),"SexbyAge")</f>
        <v>SexbyAge</v>
      </c>
      <c r="G414" s="7"/>
      <c r="H414" s="7" t="s">
        <v>1457</v>
      </c>
      <c r="I414" s="1" t="s">
        <v>1458</v>
      </c>
      <c r="J414" s="7" t="s">
        <v>1459</v>
      </c>
      <c r="K414" s="1"/>
      <c r="L414" s="1" t="s">
        <v>1460</v>
      </c>
      <c r="M414" s="1"/>
      <c r="N414" s="1"/>
      <c r="O414" s="1" t="str">
        <f t="shared" si="1"/>
        <v> = 'B01001_008',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2" t="s">
        <v>10</v>
      </c>
      <c r="B415" s="1"/>
      <c r="C415" s="7" t="s">
        <v>613</v>
      </c>
      <c r="D415" s="7" t="s">
        <v>1159</v>
      </c>
      <c r="E415" s="7" t="s">
        <v>1442</v>
      </c>
      <c r="F415" s="3" t="str">
        <f>IFERROR(__xludf.DUMMYFUNCTION("REGEXREPLACE(E415, ""[^A-Za-z0-9]"", """")"),"SexbyAge")</f>
        <v>SexbyAge</v>
      </c>
      <c r="G415" s="7"/>
      <c r="H415" s="7" t="s">
        <v>1461</v>
      </c>
      <c r="I415" s="1" t="s">
        <v>1462</v>
      </c>
      <c r="J415" s="7" t="s">
        <v>1463</v>
      </c>
      <c r="K415" s="1"/>
      <c r="L415" s="1" t="s">
        <v>1464</v>
      </c>
      <c r="M415" s="1"/>
      <c r="N415" s="1"/>
      <c r="O415" s="1" t="str">
        <f t="shared" si="1"/>
        <v> = 'B01001_009',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2" t="s">
        <v>10</v>
      </c>
      <c r="B416" s="1"/>
      <c r="C416" s="7" t="s">
        <v>613</v>
      </c>
      <c r="D416" s="7" t="s">
        <v>1159</v>
      </c>
      <c r="E416" s="7" t="s">
        <v>1442</v>
      </c>
      <c r="F416" s="3" t="str">
        <f>IFERROR(__xludf.DUMMYFUNCTION("REGEXREPLACE(E416, ""[^A-Za-z0-9]"", """")"),"SexbyAge")</f>
        <v>SexbyAge</v>
      </c>
      <c r="G416" s="7"/>
      <c r="H416" s="7" t="s">
        <v>1465</v>
      </c>
      <c r="I416" s="1" t="s">
        <v>1466</v>
      </c>
      <c r="J416" s="7" t="s">
        <v>1467</v>
      </c>
      <c r="K416" s="1"/>
      <c r="L416" s="1" t="s">
        <v>1468</v>
      </c>
      <c r="M416" s="1"/>
      <c r="N416" s="1"/>
      <c r="O416" s="1" t="str">
        <f t="shared" si="1"/>
        <v> = 'B01001_010',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2" t="s">
        <v>10</v>
      </c>
      <c r="B417" s="1"/>
      <c r="C417" s="7" t="s">
        <v>613</v>
      </c>
      <c r="D417" s="7" t="s">
        <v>1159</v>
      </c>
      <c r="E417" s="7" t="s">
        <v>1442</v>
      </c>
      <c r="F417" s="3" t="str">
        <f>IFERROR(__xludf.DUMMYFUNCTION("REGEXREPLACE(E417, ""[^A-Za-z0-9]"", """")"),"SexbyAge")</f>
        <v>SexbyAge</v>
      </c>
      <c r="G417" s="7"/>
      <c r="H417" s="7" t="s">
        <v>1260</v>
      </c>
      <c r="I417" s="1" t="s">
        <v>1469</v>
      </c>
      <c r="J417" s="7" t="s">
        <v>1470</v>
      </c>
      <c r="K417" s="1"/>
      <c r="L417" s="1" t="s">
        <v>1263</v>
      </c>
      <c r="M417" s="1"/>
      <c r="N417" s="1"/>
      <c r="O417" s="1" t="str">
        <f t="shared" si="1"/>
        <v> = 'B01001_011',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2" t="s">
        <v>10</v>
      </c>
      <c r="B418" s="1"/>
      <c r="C418" s="7" t="s">
        <v>613</v>
      </c>
      <c r="D418" s="7" t="s">
        <v>1159</v>
      </c>
      <c r="E418" s="7" t="s">
        <v>1442</v>
      </c>
      <c r="F418" s="3" t="str">
        <f>IFERROR(__xludf.DUMMYFUNCTION("REGEXREPLACE(E418, ""[^A-Za-z0-9]"", """")"),"SexbyAge")</f>
        <v>SexbyAge</v>
      </c>
      <c r="G418" s="7"/>
      <c r="H418" s="7" t="s">
        <v>1264</v>
      </c>
      <c r="I418" s="1" t="s">
        <v>1471</v>
      </c>
      <c r="J418" s="7" t="s">
        <v>1472</v>
      </c>
      <c r="K418" s="1"/>
      <c r="L418" s="1" t="s">
        <v>1267</v>
      </c>
      <c r="M418" s="1"/>
      <c r="N418" s="1"/>
      <c r="O418" s="1" t="str">
        <f t="shared" si="1"/>
        <v> = 'B01001_012',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2" t="s">
        <v>10</v>
      </c>
      <c r="B419" s="1"/>
      <c r="C419" s="7" t="s">
        <v>613</v>
      </c>
      <c r="D419" s="7" t="s">
        <v>1159</v>
      </c>
      <c r="E419" s="7" t="s">
        <v>1442</v>
      </c>
      <c r="F419" s="3" t="str">
        <f>IFERROR(__xludf.DUMMYFUNCTION("REGEXREPLACE(E419, ""[^A-Za-z0-9]"", """")"),"SexbyAge")</f>
        <v>SexbyAge</v>
      </c>
      <c r="G419" s="7"/>
      <c r="H419" s="7" t="s">
        <v>1473</v>
      </c>
      <c r="I419" s="1" t="s">
        <v>1474</v>
      </c>
      <c r="J419" s="7" t="s">
        <v>1475</v>
      </c>
      <c r="K419" s="1"/>
      <c r="L419" s="1" t="s">
        <v>1476</v>
      </c>
      <c r="M419" s="1"/>
      <c r="N419" s="1"/>
      <c r="O419" s="1" t="str">
        <f t="shared" si="1"/>
        <v> = 'B01001_013',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2" t="s">
        <v>10</v>
      </c>
      <c r="B420" s="1"/>
      <c r="C420" s="7" t="s">
        <v>613</v>
      </c>
      <c r="D420" s="7" t="s">
        <v>1159</v>
      </c>
      <c r="E420" s="7" t="s">
        <v>1442</v>
      </c>
      <c r="F420" s="3" t="str">
        <f>IFERROR(__xludf.DUMMYFUNCTION("REGEXREPLACE(E420, ""[^A-Za-z0-9]"", """")"),"SexbyAge")</f>
        <v>SexbyAge</v>
      </c>
      <c r="G420" s="7"/>
      <c r="H420" s="7" t="s">
        <v>1477</v>
      </c>
      <c r="I420" s="1" t="s">
        <v>1478</v>
      </c>
      <c r="J420" s="7" t="s">
        <v>1479</v>
      </c>
      <c r="K420" s="1"/>
      <c r="L420" s="1" t="s">
        <v>1480</v>
      </c>
      <c r="M420" s="1"/>
      <c r="N420" s="1"/>
      <c r="O420" s="1" t="str">
        <f t="shared" si="1"/>
        <v> = 'B01001_014',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2" t="s">
        <v>10</v>
      </c>
      <c r="B421" s="1"/>
      <c r="C421" s="7" t="s">
        <v>613</v>
      </c>
      <c r="D421" s="7" t="s">
        <v>1159</v>
      </c>
      <c r="E421" s="7" t="s">
        <v>1442</v>
      </c>
      <c r="F421" s="3" t="str">
        <f>IFERROR(__xludf.DUMMYFUNCTION("REGEXREPLACE(E421, ""[^A-Za-z0-9]"", """")"),"SexbyAge")</f>
        <v>SexbyAge</v>
      </c>
      <c r="G421" s="7"/>
      <c r="H421" s="7" t="s">
        <v>1481</v>
      </c>
      <c r="I421" s="1" t="s">
        <v>1482</v>
      </c>
      <c r="J421" s="7" t="s">
        <v>1483</v>
      </c>
      <c r="K421" s="1"/>
      <c r="L421" s="1" t="s">
        <v>1484</v>
      </c>
      <c r="M421" s="1"/>
      <c r="N421" s="1"/>
      <c r="O421" s="1" t="str">
        <f t="shared" si="1"/>
        <v> = 'B01001_015',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2" t="s">
        <v>10</v>
      </c>
      <c r="B422" s="1"/>
      <c r="C422" s="7" t="s">
        <v>613</v>
      </c>
      <c r="D422" s="7" t="s">
        <v>1159</v>
      </c>
      <c r="E422" s="7" t="s">
        <v>1442</v>
      </c>
      <c r="F422" s="3" t="str">
        <f>IFERROR(__xludf.DUMMYFUNCTION("REGEXREPLACE(E422, ""[^A-Za-z0-9]"", """")"),"SexbyAge")</f>
        <v>SexbyAge</v>
      </c>
      <c r="G422" s="7"/>
      <c r="H422" s="7" t="s">
        <v>1485</v>
      </c>
      <c r="I422" s="1" t="s">
        <v>1486</v>
      </c>
      <c r="J422" s="7" t="s">
        <v>1487</v>
      </c>
      <c r="K422" s="1"/>
      <c r="L422" s="1" t="s">
        <v>1488</v>
      </c>
      <c r="M422" s="1"/>
      <c r="N422" s="1"/>
      <c r="O422" s="1" t="str">
        <f t="shared" si="1"/>
        <v> = 'B01001_016',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2" t="s">
        <v>10</v>
      </c>
      <c r="B423" s="1"/>
      <c r="C423" s="7" t="s">
        <v>613</v>
      </c>
      <c r="D423" s="7" t="s">
        <v>1159</v>
      </c>
      <c r="E423" s="7" t="s">
        <v>1442</v>
      </c>
      <c r="F423" s="3" t="str">
        <f>IFERROR(__xludf.DUMMYFUNCTION("REGEXREPLACE(E423, ""[^A-Za-z0-9]"", """")"),"SexbyAge")</f>
        <v>SexbyAge</v>
      </c>
      <c r="G423" s="7"/>
      <c r="H423" s="7" t="s">
        <v>1489</v>
      </c>
      <c r="I423" s="1" t="s">
        <v>1490</v>
      </c>
      <c r="J423" s="7" t="s">
        <v>1491</v>
      </c>
      <c r="K423" s="1"/>
      <c r="L423" s="1" t="s">
        <v>1492</v>
      </c>
      <c r="M423" s="1"/>
      <c r="N423" s="1"/>
      <c r="O423" s="1" t="str">
        <f t="shared" si="1"/>
        <v> = 'B01001_017',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2" t="s">
        <v>10</v>
      </c>
      <c r="B424" s="1"/>
      <c r="C424" s="7" t="s">
        <v>613</v>
      </c>
      <c r="D424" s="7" t="s">
        <v>1159</v>
      </c>
      <c r="E424" s="7" t="s">
        <v>1442</v>
      </c>
      <c r="F424" s="3" t="str">
        <f>IFERROR(__xludf.DUMMYFUNCTION("REGEXREPLACE(E424, ""[^A-Za-z0-9]"", """")"),"SexbyAge")</f>
        <v>SexbyAge</v>
      </c>
      <c r="G424" s="7"/>
      <c r="H424" s="7" t="s">
        <v>1493</v>
      </c>
      <c r="I424" s="1" t="s">
        <v>1494</v>
      </c>
      <c r="J424" s="7" t="s">
        <v>1495</v>
      </c>
      <c r="K424" s="1"/>
      <c r="L424" s="1" t="s">
        <v>1496</v>
      </c>
      <c r="M424" s="1"/>
      <c r="N424" s="1"/>
      <c r="O424" s="1" t="str">
        <f t="shared" si="1"/>
        <v> = 'B01001_018',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2" t="s">
        <v>10</v>
      </c>
      <c r="B425" s="1"/>
      <c r="C425" s="7" t="s">
        <v>613</v>
      </c>
      <c r="D425" s="7" t="s">
        <v>1159</v>
      </c>
      <c r="E425" s="7" t="s">
        <v>1442</v>
      </c>
      <c r="F425" s="3" t="str">
        <f>IFERROR(__xludf.DUMMYFUNCTION("REGEXREPLACE(E425, ""[^A-Za-z0-9]"", """")"),"SexbyAge")</f>
        <v>SexbyAge</v>
      </c>
      <c r="G425" s="7"/>
      <c r="H425" s="7" t="s">
        <v>1497</v>
      </c>
      <c r="I425" s="1" t="s">
        <v>1498</v>
      </c>
      <c r="J425" s="7" t="s">
        <v>1499</v>
      </c>
      <c r="K425" s="1"/>
      <c r="L425" s="1" t="s">
        <v>1500</v>
      </c>
      <c r="M425" s="1"/>
      <c r="N425" s="1"/>
      <c r="O425" s="1" t="str">
        <f t="shared" si="1"/>
        <v> = 'B01001_019',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2" t="s">
        <v>10</v>
      </c>
      <c r="B426" s="1"/>
      <c r="C426" s="7" t="s">
        <v>613</v>
      </c>
      <c r="D426" s="7" t="s">
        <v>1159</v>
      </c>
      <c r="E426" s="7" t="s">
        <v>1442</v>
      </c>
      <c r="F426" s="3" t="str">
        <f>IFERROR(__xludf.DUMMYFUNCTION("REGEXREPLACE(E426, ""[^A-Za-z0-9]"", """")"),"SexbyAge")</f>
        <v>SexbyAge</v>
      </c>
      <c r="G426" s="7"/>
      <c r="H426" s="7" t="s">
        <v>1501</v>
      </c>
      <c r="I426" s="1" t="s">
        <v>1502</v>
      </c>
      <c r="J426" s="7" t="s">
        <v>1503</v>
      </c>
      <c r="K426" s="1"/>
      <c r="L426" s="1" t="s">
        <v>1504</v>
      </c>
      <c r="M426" s="1"/>
      <c r="N426" s="1"/>
      <c r="O426" s="1" t="str">
        <f t="shared" si="1"/>
        <v> = 'B01001_020',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2" t="s">
        <v>10</v>
      </c>
      <c r="B427" s="1"/>
      <c r="C427" s="7" t="s">
        <v>613</v>
      </c>
      <c r="D427" s="7" t="s">
        <v>1159</v>
      </c>
      <c r="E427" s="7" t="s">
        <v>1442</v>
      </c>
      <c r="F427" s="3" t="str">
        <f>IFERROR(__xludf.DUMMYFUNCTION("REGEXREPLACE(E427, ""[^A-Za-z0-9]"", """")"),"SexbyAge")</f>
        <v>SexbyAge</v>
      </c>
      <c r="G427" s="7"/>
      <c r="H427" s="7" t="s">
        <v>1505</v>
      </c>
      <c r="I427" s="1" t="s">
        <v>1506</v>
      </c>
      <c r="J427" s="7" t="s">
        <v>1507</v>
      </c>
      <c r="K427" s="1"/>
      <c r="L427" s="1" t="s">
        <v>1508</v>
      </c>
      <c r="M427" s="1"/>
      <c r="N427" s="1"/>
      <c r="O427" s="1" t="str">
        <f t="shared" si="1"/>
        <v> = 'B01001_021',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2" t="s">
        <v>10</v>
      </c>
      <c r="B428" s="1"/>
      <c r="C428" s="7" t="s">
        <v>613</v>
      </c>
      <c r="D428" s="7" t="s">
        <v>1159</v>
      </c>
      <c r="E428" s="7" t="s">
        <v>1442</v>
      </c>
      <c r="F428" s="3" t="str">
        <f>IFERROR(__xludf.DUMMYFUNCTION("REGEXREPLACE(E428, ""[^A-Za-z0-9]"", """")"),"SexbyAge")</f>
        <v>SexbyAge</v>
      </c>
      <c r="G428" s="7"/>
      <c r="H428" s="7" t="s">
        <v>1509</v>
      </c>
      <c r="I428" s="1" t="s">
        <v>1510</v>
      </c>
      <c r="J428" s="7" t="s">
        <v>1511</v>
      </c>
      <c r="K428" s="1"/>
      <c r="L428" s="1" t="s">
        <v>1512</v>
      </c>
      <c r="M428" s="1"/>
      <c r="N428" s="1"/>
      <c r="O428" s="1" t="str">
        <f t="shared" si="1"/>
        <v> = 'B01001_022',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2" t="s">
        <v>10</v>
      </c>
      <c r="B429" s="1"/>
      <c r="C429" s="7" t="s">
        <v>613</v>
      </c>
      <c r="D429" s="7" t="s">
        <v>1159</v>
      </c>
      <c r="E429" s="7" t="s">
        <v>1442</v>
      </c>
      <c r="F429" s="3" t="str">
        <f>IFERROR(__xludf.DUMMYFUNCTION("REGEXREPLACE(E429, ""[^A-Za-z0-9]"", """")"),"SexbyAge")</f>
        <v>SexbyAge</v>
      </c>
      <c r="G429" s="7"/>
      <c r="H429" s="7" t="s">
        <v>1513</v>
      </c>
      <c r="I429" s="1" t="s">
        <v>1514</v>
      </c>
      <c r="J429" s="7" t="s">
        <v>1515</v>
      </c>
      <c r="K429" s="1"/>
      <c r="L429" s="1" t="s">
        <v>1516</v>
      </c>
      <c r="M429" s="1"/>
      <c r="N429" s="1"/>
      <c r="O429" s="1" t="str">
        <f t="shared" si="1"/>
        <v> = 'B01001_023',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2" t="s">
        <v>10</v>
      </c>
      <c r="B430" s="1"/>
      <c r="C430" s="7" t="s">
        <v>613</v>
      </c>
      <c r="D430" s="7" t="s">
        <v>1159</v>
      </c>
      <c r="E430" s="7" t="s">
        <v>1442</v>
      </c>
      <c r="F430" s="3" t="str">
        <f>IFERROR(__xludf.DUMMYFUNCTION("REGEXREPLACE(E430, ""[^A-Za-z0-9]"", """")"),"SexbyAge")</f>
        <v>SexbyAge</v>
      </c>
      <c r="G430" s="7"/>
      <c r="H430" s="7" t="s">
        <v>1517</v>
      </c>
      <c r="I430" s="1" t="s">
        <v>1518</v>
      </c>
      <c r="J430" s="7" t="s">
        <v>1519</v>
      </c>
      <c r="K430" s="1"/>
      <c r="L430" s="1" t="s">
        <v>1520</v>
      </c>
      <c r="M430" s="1"/>
      <c r="N430" s="1"/>
      <c r="O430" s="1" t="str">
        <f t="shared" si="1"/>
        <v> = 'B01001_024',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2" t="s">
        <v>10</v>
      </c>
      <c r="B431" s="1"/>
      <c r="C431" s="7" t="s">
        <v>613</v>
      </c>
      <c r="D431" s="7" t="s">
        <v>1159</v>
      </c>
      <c r="E431" s="7" t="s">
        <v>1442</v>
      </c>
      <c r="F431" s="3" t="str">
        <f>IFERROR(__xludf.DUMMYFUNCTION("REGEXREPLACE(E431, ""[^A-Za-z0-9]"", """")"),"SexbyAge")</f>
        <v>SexbyAge</v>
      </c>
      <c r="G431" s="7"/>
      <c r="H431" s="7" t="s">
        <v>1169</v>
      </c>
      <c r="I431" s="1" t="s">
        <v>1521</v>
      </c>
      <c r="J431" s="7" t="s">
        <v>1522</v>
      </c>
      <c r="K431" s="1"/>
      <c r="L431" s="1" t="s">
        <v>1172</v>
      </c>
      <c r="M431" s="1"/>
      <c r="N431" s="1"/>
      <c r="O431" s="1" t="str">
        <f t="shared" si="1"/>
        <v> = 'B01001_025',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2" t="s">
        <v>10</v>
      </c>
      <c r="B432" s="1"/>
      <c r="C432" s="7" t="s">
        <v>613</v>
      </c>
      <c r="D432" s="7" t="s">
        <v>1159</v>
      </c>
      <c r="E432" s="7" t="s">
        <v>1442</v>
      </c>
      <c r="F432" s="3" t="str">
        <f>IFERROR(__xludf.DUMMYFUNCTION("REGEXREPLACE(E432, ""[^A-Za-z0-9]"", """")"),"SexbyAge")</f>
        <v>SexbyAge</v>
      </c>
      <c r="G432" s="7"/>
      <c r="H432" s="7" t="s">
        <v>452</v>
      </c>
      <c r="I432" s="1" t="s">
        <v>1523</v>
      </c>
      <c r="J432" s="7" t="s">
        <v>1524</v>
      </c>
      <c r="K432" s="1"/>
      <c r="L432" s="1" t="s">
        <v>455</v>
      </c>
      <c r="M432" s="1"/>
      <c r="N432" s="1"/>
      <c r="O432" s="1" t="str">
        <f t="shared" si="1"/>
        <v> = 'B01001_026',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2" t="s">
        <v>10</v>
      </c>
      <c r="B433" s="1"/>
      <c r="C433" s="7" t="s">
        <v>613</v>
      </c>
      <c r="D433" s="7" t="s">
        <v>1159</v>
      </c>
      <c r="E433" s="7" t="s">
        <v>1442</v>
      </c>
      <c r="F433" s="3" t="str">
        <f>IFERROR(__xludf.DUMMYFUNCTION("REGEXREPLACE(E433, ""[^A-Za-z0-9]"", """")"),"SexbyAge")</f>
        <v>SexbyAge</v>
      </c>
      <c r="G433" s="7"/>
      <c r="H433" s="7" t="s">
        <v>1175</v>
      </c>
      <c r="I433" s="1" t="s">
        <v>1525</v>
      </c>
      <c r="J433" s="7" t="s">
        <v>1526</v>
      </c>
      <c r="K433" s="1"/>
      <c r="L433" s="1" t="s">
        <v>1178</v>
      </c>
      <c r="M433" s="1"/>
      <c r="N433" s="1"/>
      <c r="O433" s="1" t="str">
        <f t="shared" si="1"/>
        <v> = 'B01001_027',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2" t="s">
        <v>10</v>
      </c>
      <c r="B434" s="1"/>
      <c r="C434" s="7" t="s">
        <v>613</v>
      </c>
      <c r="D434" s="7" t="s">
        <v>1159</v>
      </c>
      <c r="E434" s="7" t="s">
        <v>1442</v>
      </c>
      <c r="F434" s="3" t="str">
        <f>IFERROR(__xludf.DUMMYFUNCTION("REGEXREPLACE(E434, ""[^A-Za-z0-9]"", """")"),"SexbyAge")</f>
        <v>SexbyAge</v>
      </c>
      <c r="G434" s="7"/>
      <c r="H434" s="7" t="s">
        <v>1179</v>
      </c>
      <c r="I434" s="1" t="s">
        <v>1527</v>
      </c>
      <c r="J434" s="7" t="s">
        <v>1528</v>
      </c>
      <c r="K434" s="1"/>
      <c r="L434" s="1" t="s">
        <v>1182</v>
      </c>
      <c r="M434" s="1"/>
      <c r="N434" s="1"/>
      <c r="O434" s="1" t="str">
        <f t="shared" si="1"/>
        <v> = 'B01001_028',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2" t="s">
        <v>10</v>
      </c>
      <c r="B435" s="1"/>
      <c r="C435" s="7" t="s">
        <v>613</v>
      </c>
      <c r="D435" s="7" t="s">
        <v>1159</v>
      </c>
      <c r="E435" s="7" t="s">
        <v>1442</v>
      </c>
      <c r="F435" s="3" t="str">
        <f>IFERROR(__xludf.DUMMYFUNCTION("REGEXREPLACE(E435, ""[^A-Za-z0-9]"", """")"),"SexbyAge")</f>
        <v>SexbyAge</v>
      </c>
      <c r="G435" s="7"/>
      <c r="H435" s="7" t="s">
        <v>1183</v>
      </c>
      <c r="I435" s="1" t="s">
        <v>1529</v>
      </c>
      <c r="J435" s="7" t="s">
        <v>1530</v>
      </c>
      <c r="K435" s="1"/>
      <c r="L435" s="1" t="s">
        <v>1186</v>
      </c>
      <c r="M435" s="1"/>
      <c r="N435" s="1"/>
      <c r="O435" s="1" t="str">
        <f t="shared" si="1"/>
        <v> = 'B01001_029',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2" t="s">
        <v>10</v>
      </c>
      <c r="B436" s="1"/>
      <c r="C436" s="7" t="s">
        <v>613</v>
      </c>
      <c r="D436" s="7" t="s">
        <v>1159</v>
      </c>
      <c r="E436" s="7" t="s">
        <v>1442</v>
      </c>
      <c r="F436" s="3" t="str">
        <f>IFERROR(__xludf.DUMMYFUNCTION("REGEXREPLACE(E436, ""[^A-Za-z0-9]"", """")"),"SexbyAge")</f>
        <v>SexbyAge</v>
      </c>
      <c r="G436" s="7"/>
      <c r="H436" s="7" t="s">
        <v>1187</v>
      </c>
      <c r="I436" s="1" t="s">
        <v>1531</v>
      </c>
      <c r="J436" s="7" t="s">
        <v>1532</v>
      </c>
      <c r="K436" s="1"/>
      <c r="L436" s="1" t="s">
        <v>1190</v>
      </c>
      <c r="M436" s="1"/>
      <c r="N436" s="1"/>
      <c r="O436" s="1" t="str">
        <f t="shared" si="1"/>
        <v> = 'B01001_030',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2" t="s">
        <v>10</v>
      </c>
      <c r="B437" s="1"/>
      <c r="C437" s="7" t="s">
        <v>613</v>
      </c>
      <c r="D437" s="7" t="s">
        <v>1159</v>
      </c>
      <c r="E437" s="7" t="s">
        <v>1442</v>
      </c>
      <c r="F437" s="3" t="str">
        <f>IFERROR(__xludf.DUMMYFUNCTION("REGEXREPLACE(E437, ""[^A-Za-z0-9]"", """")"),"SexbyAge")</f>
        <v>SexbyAge</v>
      </c>
      <c r="G437" s="7"/>
      <c r="H437" s="7" t="s">
        <v>1191</v>
      </c>
      <c r="I437" s="1" t="s">
        <v>1533</v>
      </c>
      <c r="J437" s="7" t="s">
        <v>1534</v>
      </c>
      <c r="K437" s="1"/>
      <c r="L437" s="1" t="s">
        <v>1194</v>
      </c>
      <c r="M437" s="1"/>
      <c r="N437" s="1"/>
      <c r="O437" s="1" t="str">
        <f t="shared" si="1"/>
        <v> = 'B01001_031',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2" t="s">
        <v>10</v>
      </c>
      <c r="B438" s="1"/>
      <c r="C438" s="7" t="s">
        <v>613</v>
      </c>
      <c r="D438" s="7" t="s">
        <v>1159</v>
      </c>
      <c r="E438" s="7" t="s">
        <v>1442</v>
      </c>
      <c r="F438" s="3" t="str">
        <f>IFERROR(__xludf.DUMMYFUNCTION("REGEXREPLACE(E438, ""[^A-Za-z0-9]"", """")"),"SexbyAge")</f>
        <v>SexbyAge</v>
      </c>
      <c r="G438" s="7"/>
      <c r="H438" s="7" t="s">
        <v>1535</v>
      </c>
      <c r="I438" s="1" t="s">
        <v>1536</v>
      </c>
      <c r="J438" s="7" t="s">
        <v>1537</v>
      </c>
      <c r="K438" s="1"/>
      <c r="L438" s="1" t="s">
        <v>1538</v>
      </c>
      <c r="M438" s="1"/>
      <c r="N438" s="1"/>
      <c r="O438" s="1" t="str">
        <f t="shared" si="1"/>
        <v> = 'B01001_032',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2" t="s">
        <v>10</v>
      </c>
      <c r="B439" s="1"/>
      <c r="C439" s="7" t="s">
        <v>613</v>
      </c>
      <c r="D439" s="7" t="s">
        <v>1159</v>
      </c>
      <c r="E439" s="7" t="s">
        <v>1442</v>
      </c>
      <c r="F439" s="3" t="str">
        <f>IFERROR(__xludf.DUMMYFUNCTION("REGEXREPLACE(E439, ""[^A-Za-z0-9]"", """")"),"SexbyAge")</f>
        <v>SexbyAge</v>
      </c>
      <c r="G439" s="7"/>
      <c r="H439" s="7" t="s">
        <v>1539</v>
      </c>
      <c r="I439" s="1" t="s">
        <v>1540</v>
      </c>
      <c r="J439" s="7" t="s">
        <v>1541</v>
      </c>
      <c r="K439" s="1"/>
      <c r="L439" s="1" t="s">
        <v>1542</v>
      </c>
      <c r="M439" s="1"/>
      <c r="N439" s="1"/>
      <c r="O439" s="1" t="str">
        <f t="shared" si="1"/>
        <v> = 'B01001_033',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2" t="s">
        <v>10</v>
      </c>
      <c r="B440" s="1"/>
      <c r="C440" s="7" t="s">
        <v>613</v>
      </c>
      <c r="D440" s="7" t="s">
        <v>1159</v>
      </c>
      <c r="E440" s="7" t="s">
        <v>1442</v>
      </c>
      <c r="F440" s="3" t="str">
        <f>IFERROR(__xludf.DUMMYFUNCTION("REGEXREPLACE(E440, ""[^A-Za-z0-9]"", """")"),"SexbyAge")</f>
        <v>SexbyAge</v>
      </c>
      <c r="G440" s="7"/>
      <c r="H440" s="7" t="s">
        <v>1543</v>
      </c>
      <c r="I440" s="1" t="s">
        <v>1544</v>
      </c>
      <c r="J440" s="7" t="s">
        <v>1545</v>
      </c>
      <c r="K440" s="1"/>
      <c r="L440" s="1" t="s">
        <v>1546</v>
      </c>
      <c r="M440" s="1"/>
      <c r="N440" s="1"/>
      <c r="O440" s="1" t="str">
        <f t="shared" si="1"/>
        <v> = 'B01001_034',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2" t="s">
        <v>10</v>
      </c>
      <c r="B441" s="1"/>
      <c r="C441" s="7" t="s">
        <v>613</v>
      </c>
      <c r="D441" s="7" t="s">
        <v>1159</v>
      </c>
      <c r="E441" s="7" t="s">
        <v>1442</v>
      </c>
      <c r="F441" s="3" t="str">
        <f>IFERROR(__xludf.DUMMYFUNCTION("REGEXREPLACE(E441, ""[^A-Za-z0-9]"", """")"),"SexbyAge")</f>
        <v>SexbyAge</v>
      </c>
      <c r="G441" s="7"/>
      <c r="H441" s="7" t="s">
        <v>1199</v>
      </c>
      <c r="I441" s="1" t="s">
        <v>1547</v>
      </c>
      <c r="J441" s="7" t="s">
        <v>1548</v>
      </c>
      <c r="K441" s="1"/>
      <c r="L441" s="1" t="s">
        <v>1202</v>
      </c>
      <c r="M441" s="1"/>
      <c r="N441" s="1"/>
      <c r="O441" s="1" t="str">
        <f t="shared" si="1"/>
        <v> = 'B01001_035',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2" t="s">
        <v>10</v>
      </c>
      <c r="B442" s="1"/>
      <c r="C442" s="7" t="s">
        <v>613</v>
      </c>
      <c r="D442" s="7" t="s">
        <v>1159</v>
      </c>
      <c r="E442" s="7" t="s">
        <v>1442</v>
      </c>
      <c r="F442" s="3" t="str">
        <f>IFERROR(__xludf.DUMMYFUNCTION("REGEXREPLACE(E442, ""[^A-Za-z0-9]"", """")"),"SexbyAge")</f>
        <v>SexbyAge</v>
      </c>
      <c r="G442" s="7"/>
      <c r="H442" s="7" t="s">
        <v>1203</v>
      </c>
      <c r="I442" s="1" t="s">
        <v>1549</v>
      </c>
      <c r="J442" s="7" t="s">
        <v>1550</v>
      </c>
      <c r="K442" s="1"/>
      <c r="L442" s="1" t="s">
        <v>1206</v>
      </c>
      <c r="M442" s="1"/>
      <c r="N442" s="1"/>
      <c r="O442" s="1" t="str">
        <f t="shared" si="1"/>
        <v> = 'B01001_036',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2" t="s">
        <v>10</v>
      </c>
      <c r="B443" s="1"/>
      <c r="C443" s="7" t="s">
        <v>613</v>
      </c>
      <c r="D443" s="7" t="s">
        <v>1159</v>
      </c>
      <c r="E443" s="7" t="s">
        <v>1442</v>
      </c>
      <c r="F443" s="3" t="str">
        <f>IFERROR(__xludf.DUMMYFUNCTION("REGEXREPLACE(E443, ""[^A-Za-z0-9]"", """")"),"SexbyAge")</f>
        <v>SexbyAge</v>
      </c>
      <c r="G443" s="7"/>
      <c r="H443" s="7" t="s">
        <v>1551</v>
      </c>
      <c r="I443" s="1" t="s">
        <v>1552</v>
      </c>
      <c r="J443" s="7" t="s">
        <v>1553</v>
      </c>
      <c r="K443" s="1"/>
      <c r="L443" s="1" t="s">
        <v>1554</v>
      </c>
      <c r="M443" s="1"/>
      <c r="N443" s="1"/>
      <c r="O443" s="1" t="str">
        <f t="shared" si="1"/>
        <v> = 'B01001_037',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2" t="s">
        <v>10</v>
      </c>
      <c r="B444" s="1"/>
      <c r="C444" s="7" t="s">
        <v>613</v>
      </c>
      <c r="D444" s="7" t="s">
        <v>1159</v>
      </c>
      <c r="E444" s="7" t="s">
        <v>1442</v>
      </c>
      <c r="F444" s="3" t="str">
        <f>IFERROR(__xludf.DUMMYFUNCTION("REGEXREPLACE(E444, ""[^A-Za-z0-9]"", """")"),"SexbyAge")</f>
        <v>SexbyAge</v>
      </c>
      <c r="G444" s="7"/>
      <c r="H444" s="7" t="s">
        <v>1555</v>
      </c>
      <c r="I444" s="1" t="s">
        <v>1556</v>
      </c>
      <c r="J444" s="7" t="s">
        <v>1557</v>
      </c>
      <c r="K444" s="1"/>
      <c r="L444" s="1" t="s">
        <v>1558</v>
      </c>
      <c r="M444" s="1"/>
      <c r="N444" s="1"/>
      <c r="O444" s="1" t="str">
        <f t="shared" si="1"/>
        <v> = 'B01001_038',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2" t="s">
        <v>10</v>
      </c>
      <c r="B445" s="1"/>
      <c r="C445" s="7" t="s">
        <v>613</v>
      </c>
      <c r="D445" s="7" t="s">
        <v>1159</v>
      </c>
      <c r="E445" s="7" t="s">
        <v>1442</v>
      </c>
      <c r="F445" s="3" t="str">
        <f>IFERROR(__xludf.DUMMYFUNCTION("REGEXREPLACE(E445, ""[^A-Za-z0-9]"", """")"),"SexbyAge")</f>
        <v>SexbyAge</v>
      </c>
      <c r="G445" s="7"/>
      <c r="H445" s="7" t="s">
        <v>1559</v>
      </c>
      <c r="I445" s="1" t="s">
        <v>1560</v>
      </c>
      <c r="J445" s="7" t="s">
        <v>1561</v>
      </c>
      <c r="K445" s="1"/>
      <c r="L445" s="1" t="s">
        <v>1562</v>
      </c>
      <c r="M445" s="1"/>
      <c r="N445" s="1"/>
      <c r="O445" s="1" t="str">
        <f t="shared" si="1"/>
        <v> = 'B01001_039',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2" t="s">
        <v>10</v>
      </c>
      <c r="B446" s="1"/>
      <c r="C446" s="7" t="s">
        <v>613</v>
      </c>
      <c r="D446" s="7" t="s">
        <v>1159</v>
      </c>
      <c r="E446" s="7" t="s">
        <v>1442</v>
      </c>
      <c r="F446" s="3" t="str">
        <f>IFERROR(__xludf.DUMMYFUNCTION("REGEXREPLACE(E446, ""[^A-Za-z0-9]"", """")"),"SexbyAge")</f>
        <v>SexbyAge</v>
      </c>
      <c r="G446" s="7"/>
      <c r="H446" s="7" t="s">
        <v>1563</v>
      </c>
      <c r="I446" s="1" t="s">
        <v>1564</v>
      </c>
      <c r="J446" s="7" t="s">
        <v>1565</v>
      </c>
      <c r="K446" s="1"/>
      <c r="L446" s="1" t="s">
        <v>1566</v>
      </c>
      <c r="M446" s="1"/>
      <c r="N446" s="1"/>
      <c r="O446" s="1" t="str">
        <f t="shared" si="1"/>
        <v> = 'B01001_040',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2" t="s">
        <v>10</v>
      </c>
      <c r="B447" s="1"/>
      <c r="C447" s="7" t="s">
        <v>613</v>
      </c>
      <c r="D447" s="7" t="s">
        <v>1159</v>
      </c>
      <c r="E447" s="7" t="s">
        <v>1442</v>
      </c>
      <c r="F447" s="3" t="str">
        <f>IFERROR(__xludf.DUMMYFUNCTION("REGEXREPLACE(E447, ""[^A-Za-z0-9]"", """")"),"SexbyAge")</f>
        <v>SexbyAge</v>
      </c>
      <c r="G447" s="7"/>
      <c r="H447" s="7" t="s">
        <v>1567</v>
      </c>
      <c r="I447" s="1" t="s">
        <v>1568</v>
      </c>
      <c r="J447" s="7" t="s">
        <v>1569</v>
      </c>
      <c r="K447" s="1"/>
      <c r="L447" s="1" t="s">
        <v>1570</v>
      </c>
      <c r="M447" s="1"/>
      <c r="N447" s="1"/>
      <c r="O447" s="1" t="str">
        <f t="shared" si="1"/>
        <v> = 'B01001_041',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2" t="s">
        <v>10</v>
      </c>
      <c r="B448" s="1"/>
      <c r="C448" s="7" t="s">
        <v>613</v>
      </c>
      <c r="D448" s="7" t="s">
        <v>1159</v>
      </c>
      <c r="E448" s="7" t="s">
        <v>1442</v>
      </c>
      <c r="F448" s="3" t="str">
        <f>IFERROR(__xludf.DUMMYFUNCTION("REGEXREPLACE(E448, ""[^A-Za-z0-9]"", """")"),"SexbyAge")</f>
        <v>SexbyAge</v>
      </c>
      <c r="G448" s="7"/>
      <c r="H448" s="7" t="s">
        <v>1571</v>
      </c>
      <c r="I448" s="1" t="s">
        <v>1572</v>
      </c>
      <c r="J448" s="7" t="s">
        <v>1573</v>
      </c>
      <c r="K448" s="1"/>
      <c r="L448" s="1" t="s">
        <v>1574</v>
      </c>
      <c r="M448" s="1"/>
      <c r="N448" s="1"/>
      <c r="O448" s="1" t="str">
        <f t="shared" si="1"/>
        <v> = 'B01001_042',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2" t="s">
        <v>10</v>
      </c>
      <c r="B449" s="1"/>
      <c r="C449" s="7" t="s">
        <v>613</v>
      </c>
      <c r="D449" s="7" t="s">
        <v>1159</v>
      </c>
      <c r="E449" s="7" t="s">
        <v>1442</v>
      </c>
      <c r="F449" s="3" t="str">
        <f>IFERROR(__xludf.DUMMYFUNCTION("REGEXREPLACE(E449, ""[^A-Za-z0-9]"", """")"),"SexbyAge")</f>
        <v>SexbyAge</v>
      </c>
      <c r="G449" s="7"/>
      <c r="H449" s="7" t="s">
        <v>1575</v>
      </c>
      <c r="I449" s="1" t="s">
        <v>1576</v>
      </c>
      <c r="J449" s="7" t="s">
        <v>1577</v>
      </c>
      <c r="K449" s="1"/>
      <c r="L449" s="1" t="s">
        <v>1578</v>
      </c>
      <c r="M449" s="1"/>
      <c r="N449" s="1"/>
      <c r="O449" s="1" t="str">
        <f t="shared" si="1"/>
        <v> = 'B01001_043',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2" t="s">
        <v>10</v>
      </c>
      <c r="B450" s="1"/>
      <c r="C450" s="7" t="s">
        <v>613</v>
      </c>
      <c r="D450" s="7" t="s">
        <v>1159</v>
      </c>
      <c r="E450" s="7" t="s">
        <v>1442</v>
      </c>
      <c r="F450" s="3" t="str">
        <f>IFERROR(__xludf.DUMMYFUNCTION("REGEXREPLACE(E450, ""[^A-Za-z0-9]"", """")"),"SexbyAge")</f>
        <v>SexbyAge</v>
      </c>
      <c r="G450" s="7"/>
      <c r="H450" s="7" t="s">
        <v>1579</v>
      </c>
      <c r="I450" s="1" t="s">
        <v>1580</v>
      </c>
      <c r="J450" s="7" t="s">
        <v>1581</v>
      </c>
      <c r="K450" s="1"/>
      <c r="L450" s="1" t="s">
        <v>1582</v>
      </c>
      <c r="M450" s="1"/>
      <c r="N450" s="1"/>
      <c r="O450" s="1" t="str">
        <f t="shared" si="1"/>
        <v> = 'B01001_044',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2" t="s">
        <v>10</v>
      </c>
      <c r="B451" s="1"/>
      <c r="C451" s="7" t="s">
        <v>613</v>
      </c>
      <c r="D451" s="7" t="s">
        <v>1159</v>
      </c>
      <c r="E451" s="7" t="s">
        <v>1442</v>
      </c>
      <c r="F451" s="3" t="str">
        <f>IFERROR(__xludf.DUMMYFUNCTION("REGEXREPLACE(E451, ""[^A-Za-z0-9]"", """")"),"SexbyAge")</f>
        <v>SexbyAge</v>
      </c>
      <c r="G451" s="7"/>
      <c r="H451" s="7" t="s">
        <v>1583</v>
      </c>
      <c r="I451" s="1" t="s">
        <v>1584</v>
      </c>
      <c r="J451" s="7" t="s">
        <v>1585</v>
      </c>
      <c r="K451" s="1"/>
      <c r="L451" s="1" t="s">
        <v>1586</v>
      </c>
      <c r="M451" s="1"/>
      <c r="N451" s="1"/>
      <c r="O451" s="1" t="str">
        <f t="shared" si="1"/>
        <v> = 'B01001_045',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2" t="s">
        <v>10</v>
      </c>
      <c r="B452" s="1"/>
      <c r="C452" s="7" t="s">
        <v>613</v>
      </c>
      <c r="D452" s="7" t="s">
        <v>1159</v>
      </c>
      <c r="E452" s="7" t="s">
        <v>1442</v>
      </c>
      <c r="F452" s="3" t="str">
        <f>IFERROR(__xludf.DUMMYFUNCTION("REGEXREPLACE(E452, ""[^A-Za-z0-9]"", """")"),"SexbyAge")</f>
        <v>SexbyAge</v>
      </c>
      <c r="G452" s="7"/>
      <c r="H452" s="7" t="s">
        <v>1587</v>
      </c>
      <c r="I452" s="1" t="s">
        <v>1588</v>
      </c>
      <c r="J452" s="7" t="s">
        <v>1589</v>
      </c>
      <c r="K452" s="1"/>
      <c r="L452" s="1" t="s">
        <v>1590</v>
      </c>
      <c r="M452" s="1"/>
      <c r="N452" s="1"/>
      <c r="O452" s="1" t="str">
        <f t="shared" si="1"/>
        <v> = 'B01001_046',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2" t="s">
        <v>10</v>
      </c>
      <c r="B453" s="1"/>
      <c r="C453" s="7" t="s">
        <v>613</v>
      </c>
      <c r="D453" s="7" t="s">
        <v>1159</v>
      </c>
      <c r="E453" s="7" t="s">
        <v>1442</v>
      </c>
      <c r="F453" s="3" t="str">
        <f>IFERROR(__xludf.DUMMYFUNCTION("REGEXREPLACE(E453, ""[^A-Za-z0-9]"", """")"),"SexbyAge")</f>
        <v>SexbyAge</v>
      </c>
      <c r="G453" s="7"/>
      <c r="H453" s="7" t="s">
        <v>1591</v>
      </c>
      <c r="I453" s="1" t="s">
        <v>1592</v>
      </c>
      <c r="J453" s="7" t="s">
        <v>1593</v>
      </c>
      <c r="K453" s="1"/>
      <c r="L453" s="1" t="s">
        <v>1594</v>
      </c>
      <c r="M453" s="1"/>
      <c r="N453" s="1"/>
      <c r="O453" s="1" t="str">
        <f t="shared" si="1"/>
        <v> = 'B01001_047',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2" t="s">
        <v>10</v>
      </c>
      <c r="B454" s="1"/>
      <c r="C454" s="7" t="s">
        <v>613</v>
      </c>
      <c r="D454" s="7" t="s">
        <v>1159</v>
      </c>
      <c r="E454" s="7" t="s">
        <v>1442</v>
      </c>
      <c r="F454" s="3" t="str">
        <f>IFERROR(__xludf.DUMMYFUNCTION("REGEXREPLACE(E454, ""[^A-Za-z0-9]"", """")"),"SexbyAge")</f>
        <v>SexbyAge</v>
      </c>
      <c r="G454" s="7"/>
      <c r="H454" s="7" t="s">
        <v>1595</v>
      </c>
      <c r="I454" s="1" t="s">
        <v>1596</v>
      </c>
      <c r="J454" s="7" t="s">
        <v>1597</v>
      </c>
      <c r="K454" s="1"/>
      <c r="L454" s="1" t="s">
        <v>1598</v>
      </c>
      <c r="M454" s="1"/>
      <c r="N454" s="1"/>
      <c r="O454" s="1" t="str">
        <f t="shared" si="1"/>
        <v> = 'B01001_048',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2" t="s">
        <v>10</v>
      </c>
      <c r="B455" s="1"/>
      <c r="C455" s="7" t="s">
        <v>613</v>
      </c>
      <c r="D455" s="7" t="s">
        <v>1159</v>
      </c>
      <c r="E455" s="7" t="s">
        <v>1442</v>
      </c>
      <c r="F455" s="3" t="str">
        <f>IFERROR(__xludf.DUMMYFUNCTION("REGEXREPLACE(E455, ""[^A-Za-z0-9]"", """")"),"SexbyAge")</f>
        <v>SexbyAge</v>
      </c>
      <c r="G455" s="7"/>
      <c r="H455" s="7" t="s">
        <v>1227</v>
      </c>
      <c r="I455" s="1" t="s">
        <v>1599</v>
      </c>
      <c r="J455" s="7" t="s">
        <v>1600</v>
      </c>
      <c r="K455" s="1"/>
      <c r="L455" s="1" t="s">
        <v>1230</v>
      </c>
      <c r="M455" s="1"/>
      <c r="N455" s="1"/>
      <c r="O455" s="1" t="str">
        <f t="shared" si="1"/>
        <v> = 'B01001_049',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2" t="s">
        <v>10</v>
      </c>
      <c r="B456" s="1"/>
      <c r="C456" s="7" t="s">
        <v>613</v>
      </c>
      <c r="D456" s="7" t="s">
        <v>1159</v>
      </c>
      <c r="E456" s="7" t="s">
        <v>1601</v>
      </c>
      <c r="F456" s="3" t="str">
        <f>IFERROR(__xludf.DUMMYFUNCTION("REGEXREPLACE(E456, ""[^A-Za-z0-9]"", """")"),"MedianAgebySexWhiteAlone")</f>
        <v>MedianAgebySexWhiteAlone</v>
      </c>
      <c r="G456" s="7"/>
      <c r="H456" s="7" t="s">
        <v>1602</v>
      </c>
      <c r="I456" s="1" t="s">
        <v>1603</v>
      </c>
      <c r="J456" s="7" t="s">
        <v>1604</v>
      </c>
      <c r="K456" s="1"/>
      <c r="L456" s="1" t="s">
        <v>1605</v>
      </c>
      <c r="M456" s="1"/>
      <c r="N456" s="1"/>
      <c r="O456" s="1" t="str">
        <f t="shared" si="1"/>
        <v> = 'B01002A_001',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2" t="s">
        <v>10</v>
      </c>
      <c r="B457" s="1"/>
      <c r="C457" s="7" t="s">
        <v>613</v>
      </c>
      <c r="D457" s="7" t="s">
        <v>1159</v>
      </c>
      <c r="E457" s="7" t="s">
        <v>1601</v>
      </c>
      <c r="F457" s="3" t="str">
        <f>IFERROR(__xludf.DUMMYFUNCTION("REGEXREPLACE(E457, ""[^A-Za-z0-9]"", """")"),"MedianAgebySexWhiteAlone")</f>
        <v>MedianAgebySexWhiteAlone</v>
      </c>
      <c r="G457" s="7"/>
      <c r="H457" s="7" t="s">
        <v>1606</v>
      </c>
      <c r="I457" s="1" t="s">
        <v>1607</v>
      </c>
      <c r="J457" s="7" t="s">
        <v>1608</v>
      </c>
      <c r="K457" s="1"/>
      <c r="L457" s="1" t="s">
        <v>1609</v>
      </c>
      <c r="M457" s="1"/>
      <c r="N457" s="1"/>
      <c r="O457" s="1" t="str">
        <f t="shared" si="1"/>
        <v> = 'B01002A_002',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2" t="s">
        <v>10</v>
      </c>
      <c r="B458" s="1"/>
      <c r="C458" s="7" t="s">
        <v>613</v>
      </c>
      <c r="D458" s="7" t="s">
        <v>1159</v>
      </c>
      <c r="E458" s="7" t="s">
        <v>1601</v>
      </c>
      <c r="F458" s="3" t="str">
        <f>IFERROR(__xludf.DUMMYFUNCTION("REGEXREPLACE(E458, ""[^A-Za-z0-9]"", """")"),"MedianAgebySexWhiteAlone")</f>
        <v>MedianAgebySexWhiteAlone</v>
      </c>
      <c r="G458" s="7"/>
      <c r="H458" s="7" t="s">
        <v>1610</v>
      </c>
      <c r="I458" s="1" t="s">
        <v>1611</v>
      </c>
      <c r="J458" s="7" t="s">
        <v>1612</v>
      </c>
      <c r="K458" s="1"/>
      <c r="L458" s="1" t="s">
        <v>1613</v>
      </c>
      <c r="M458" s="1"/>
      <c r="N458" s="1"/>
      <c r="O458" s="1" t="str">
        <f t="shared" si="1"/>
        <v> = 'B01002A_003',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2" t="s">
        <v>10</v>
      </c>
      <c r="B459" s="1"/>
      <c r="C459" s="7" t="s">
        <v>613</v>
      </c>
      <c r="D459" s="7" t="s">
        <v>1159</v>
      </c>
      <c r="E459" s="7" t="s">
        <v>1614</v>
      </c>
      <c r="F459" s="3" t="str">
        <f>IFERROR(__xludf.DUMMYFUNCTION("REGEXREPLACE(E459, ""[^A-Za-z0-9]"", """")"),"MedianAgebySexBlackorAfricanAmericanAlone")</f>
        <v>MedianAgebySexBlackorAfricanAmericanAlone</v>
      </c>
      <c r="G459" s="7"/>
      <c r="H459" s="7" t="s">
        <v>1602</v>
      </c>
      <c r="I459" s="1" t="s">
        <v>1615</v>
      </c>
      <c r="J459" s="7" t="s">
        <v>1616</v>
      </c>
      <c r="K459" s="1"/>
      <c r="L459" s="1" t="s">
        <v>1605</v>
      </c>
      <c r="M459" s="1"/>
      <c r="N459" s="1"/>
      <c r="O459" s="1" t="str">
        <f t="shared" si="1"/>
        <v> = 'B01002B_001',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2" t="s">
        <v>10</v>
      </c>
      <c r="B460" s="1"/>
      <c r="C460" s="7" t="s">
        <v>613</v>
      </c>
      <c r="D460" s="7" t="s">
        <v>1159</v>
      </c>
      <c r="E460" s="7" t="s">
        <v>1614</v>
      </c>
      <c r="F460" s="3" t="str">
        <f>IFERROR(__xludf.DUMMYFUNCTION("REGEXREPLACE(E460, ""[^A-Za-z0-9]"", """")"),"MedianAgebySexBlackorAfricanAmericanAlone")</f>
        <v>MedianAgebySexBlackorAfricanAmericanAlone</v>
      </c>
      <c r="G460" s="7"/>
      <c r="H460" s="7" t="s">
        <v>1606</v>
      </c>
      <c r="I460" s="1" t="s">
        <v>1617</v>
      </c>
      <c r="J460" s="7" t="s">
        <v>1618</v>
      </c>
      <c r="K460" s="1"/>
      <c r="L460" s="1" t="s">
        <v>1609</v>
      </c>
      <c r="M460" s="1"/>
      <c r="N460" s="1"/>
      <c r="O460" s="1" t="str">
        <f t="shared" si="1"/>
        <v> = 'B01002B_002',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2" t="s">
        <v>10</v>
      </c>
      <c r="B461" s="1"/>
      <c r="C461" s="7" t="s">
        <v>613</v>
      </c>
      <c r="D461" s="7" t="s">
        <v>1159</v>
      </c>
      <c r="E461" s="7" t="s">
        <v>1614</v>
      </c>
      <c r="F461" s="3" t="str">
        <f>IFERROR(__xludf.DUMMYFUNCTION("REGEXREPLACE(E461, ""[^A-Za-z0-9]"", """")"),"MedianAgebySexBlackorAfricanAmericanAlone")</f>
        <v>MedianAgebySexBlackorAfricanAmericanAlone</v>
      </c>
      <c r="G461" s="7"/>
      <c r="H461" s="7" t="s">
        <v>1610</v>
      </c>
      <c r="I461" s="1" t="s">
        <v>1619</v>
      </c>
      <c r="J461" s="7" t="s">
        <v>1620</v>
      </c>
      <c r="K461" s="1"/>
      <c r="L461" s="1" t="s">
        <v>1613</v>
      </c>
      <c r="M461" s="1"/>
      <c r="N461" s="1"/>
      <c r="O461" s="1" t="str">
        <f t="shared" si="1"/>
        <v> = 'B01002B_003',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2" t="s">
        <v>10</v>
      </c>
      <c r="B462" s="1"/>
      <c r="C462" s="7" t="s">
        <v>613</v>
      </c>
      <c r="D462" s="7" t="s">
        <v>1159</v>
      </c>
      <c r="E462" s="7" t="s">
        <v>1621</v>
      </c>
      <c r="F462" s="3" t="str">
        <f>IFERROR(__xludf.DUMMYFUNCTION("REGEXREPLACE(E462, ""[^A-Za-z0-9]"", """")"),"MedianAgebySexAmericanIndianandAlaskaNativeAlone")</f>
        <v>MedianAgebySexAmericanIndianandAlaskaNativeAlone</v>
      </c>
      <c r="G462" s="7"/>
      <c r="H462" s="7" t="s">
        <v>1602</v>
      </c>
      <c r="I462" s="1" t="s">
        <v>1622</v>
      </c>
      <c r="J462" s="7" t="s">
        <v>1623</v>
      </c>
      <c r="K462" s="1"/>
      <c r="L462" s="1" t="s">
        <v>1605</v>
      </c>
      <c r="M462" s="1"/>
      <c r="N462" s="1"/>
      <c r="O462" s="1" t="str">
        <f t="shared" si="1"/>
        <v> = 'B01002C_001',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2" t="s">
        <v>10</v>
      </c>
      <c r="B463" s="1"/>
      <c r="C463" s="7" t="s">
        <v>613</v>
      </c>
      <c r="D463" s="7" t="s">
        <v>1159</v>
      </c>
      <c r="E463" s="7" t="s">
        <v>1621</v>
      </c>
      <c r="F463" s="3" t="str">
        <f>IFERROR(__xludf.DUMMYFUNCTION("REGEXREPLACE(E463, ""[^A-Za-z0-9]"", """")"),"MedianAgebySexAmericanIndianandAlaskaNativeAlone")</f>
        <v>MedianAgebySexAmericanIndianandAlaskaNativeAlone</v>
      </c>
      <c r="G463" s="7"/>
      <c r="H463" s="7" t="s">
        <v>1606</v>
      </c>
      <c r="I463" s="1" t="s">
        <v>1624</v>
      </c>
      <c r="J463" s="7" t="s">
        <v>1625</v>
      </c>
      <c r="K463" s="1"/>
      <c r="L463" s="1" t="s">
        <v>1609</v>
      </c>
      <c r="M463" s="1"/>
      <c r="N463" s="1"/>
      <c r="O463" s="1" t="str">
        <f t="shared" si="1"/>
        <v> = 'B01002C_002',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2" t="s">
        <v>10</v>
      </c>
      <c r="B464" s="1"/>
      <c r="C464" s="7" t="s">
        <v>613</v>
      </c>
      <c r="D464" s="7" t="s">
        <v>1159</v>
      </c>
      <c r="E464" s="7" t="s">
        <v>1621</v>
      </c>
      <c r="F464" s="3" t="str">
        <f>IFERROR(__xludf.DUMMYFUNCTION("REGEXREPLACE(E464, ""[^A-Za-z0-9]"", """")"),"MedianAgebySexAmericanIndianandAlaskaNativeAlone")</f>
        <v>MedianAgebySexAmericanIndianandAlaskaNativeAlone</v>
      </c>
      <c r="G464" s="7"/>
      <c r="H464" s="7" t="s">
        <v>1610</v>
      </c>
      <c r="I464" s="1" t="s">
        <v>1626</v>
      </c>
      <c r="J464" s="7" t="s">
        <v>1627</v>
      </c>
      <c r="K464" s="1"/>
      <c r="L464" s="1" t="s">
        <v>1613</v>
      </c>
      <c r="M464" s="1"/>
      <c r="N464" s="1"/>
      <c r="O464" s="1" t="str">
        <f t="shared" si="1"/>
        <v> = 'B01002C_003',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2" t="s">
        <v>10</v>
      </c>
      <c r="B465" s="1"/>
      <c r="C465" s="7" t="s">
        <v>613</v>
      </c>
      <c r="D465" s="7" t="s">
        <v>1159</v>
      </c>
      <c r="E465" s="7" t="s">
        <v>1628</v>
      </c>
      <c r="F465" s="3" t="str">
        <f>IFERROR(__xludf.DUMMYFUNCTION("REGEXREPLACE(E465, ""[^A-Za-z0-9]"", """")"),"MedianAgebySexAsianAlone")</f>
        <v>MedianAgebySexAsianAlone</v>
      </c>
      <c r="G465" s="7"/>
      <c r="H465" s="7" t="s">
        <v>1602</v>
      </c>
      <c r="I465" s="1" t="s">
        <v>1629</v>
      </c>
      <c r="J465" s="7" t="s">
        <v>1630</v>
      </c>
      <c r="K465" s="1"/>
      <c r="L465" s="1" t="s">
        <v>1605</v>
      </c>
      <c r="M465" s="1"/>
      <c r="N465" s="1"/>
      <c r="O465" s="1" t="str">
        <f t="shared" si="1"/>
        <v> = 'B01002D_001',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2" t="s">
        <v>10</v>
      </c>
      <c r="B466" s="1"/>
      <c r="C466" s="7" t="s">
        <v>613</v>
      </c>
      <c r="D466" s="7" t="s">
        <v>1159</v>
      </c>
      <c r="E466" s="7" t="s">
        <v>1628</v>
      </c>
      <c r="F466" s="3" t="str">
        <f>IFERROR(__xludf.DUMMYFUNCTION("REGEXREPLACE(E466, ""[^A-Za-z0-9]"", """")"),"MedianAgebySexAsianAlone")</f>
        <v>MedianAgebySexAsianAlone</v>
      </c>
      <c r="G466" s="7"/>
      <c r="H466" s="7" t="s">
        <v>1606</v>
      </c>
      <c r="I466" s="1" t="s">
        <v>1631</v>
      </c>
      <c r="J466" s="7" t="s">
        <v>1632</v>
      </c>
      <c r="K466" s="1"/>
      <c r="L466" s="1" t="s">
        <v>1609</v>
      </c>
      <c r="M466" s="1"/>
      <c r="N466" s="1"/>
      <c r="O466" s="1" t="str">
        <f t="shared" si="1"/>
        <v> = 'B01002D_002',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2" t="s">
        <v>10</v>
      </c>
      <c r="B467" s="1"/>
      <c r="C467" s="7" t="s">
        <v>613</v>
      </c>
      <c r="D467" s="7" t="s">
        <v>1159</v>
      </c>
      <c r="E467" s="7" t="s">
        <v>1628</v>
      </c>
      <c r="F467" s="3" t="str">
        <f>IFERROR(__xludf.DUMMYFUNCTION("REGEXREPLACE(E467, ""[^A-Za-z0-9]"", """")"),"MedianAgebySexAsianAlone")</f>
        <v>MedianAgebySexAsianAlone</v>
      </c>
      <c r="G467" s="7"/>
      <c r="H467" s="7" t="s">
        <v>1610</v>
      </c>
      <c r="I467" s="1" t="s">
        <v>1633</v>
      </c>
      <c r="J467" s="7" t="s">
        <v>1634</v>
      </c>
      <c r="K467" s="1"/>
      <c r="L467" s="1" t="s">
        <v>1613</v>
      </c>
      <c r="M467" s="1"/>
      <c r="N467" s="1"/>
      <c r="O467" s="1" t="str">
        <f t="shared" si="1"/>
        <v> = 'B01002D_003',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2" t="s">
        <v>10</v>
      </c>
      <c r="B468" s="1"/>
      <c r="C468" s="7" t="s">
        <v>613</v>
      </c>
      <c r="D468" s="7" t="s">
        <v>1159</v>
      </c>
      <c r="E468" s="7" t="s">
        <v>1635</v>
      </c>
      <c r="F468" s="3" t="str">
        <f>IFERROR(__xludf.DUMMYFUNCTION("REGEXREPLACE(E468, ""[^A-Za-z0-9]"", """")"),"MedianAgebySexNativeHawaiianandOtherPacificIslanderAlone")</f>
        <v>MedianAgebySexNativeHawaiianandOtherPacificIslanderAlone</v>
      </c>
      <c r="G468" s="7"/>
      <c r="H468" s="7" t="s">
        <v>1602</v>
      </c>
      <c r="I468" s="1" t="s">
        <v>1636</v>
      </c>
      <c r="J468" s="7" t="s">
        <v>1637</v>
      </c>
      <c r="K468" s="1"/>
      <c r="L468" s="1" t="s">
        <v>1605</v>
      </c>
      <c r="M468" s="1"/>
      <c r="N468" s="1"/>
      <c r="O468" s="1" t="str">
        <f t="shared" si="1"/>
        <v> = 'B01002E_001',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2" t="s">
        <v>10</v>
      </c>
      <c r="B469" s="1"/>
      <c r="C469" s="7" t="s">
        <v>613</v>
      </c>
      <c r="D469" s="7" t="s">
        <v>1159</v>
      </c>
      <c r="E469" s="7" t="s">
        <v>1635</v>
      </c>
      <c r="F469" s="3" t="str">
        <f>IFERROR(__xludf.DUMMYFUNCTION("REGEXREPLACE(E469, ""[^A-Za-z0-9]"", """")"),"MedianAgebySexNativeHawaiianandOtherPacificIslanderAlone")</f>
        <v>MedianAgebySexNativeHawaiianandOtherPacificIslanderAlone</v>
      </c>
      <c r="G469" s="7"/>
      <c r="H469" s="7" t="s">
        <v>1606</v>
      </c>
      <c r="I469" s="1" t="s">
        <v>1638</v>
      </c>
      <c r="J469" s="7" t="s">
        <v>1639</v>
      </c>
      <c r="K469" s="1"/>
      <c r="L469" s="1" t="s">
        <v>1609</v>
      </c>
      <c r="M469" s="1"/>
      <c r="N469" s="1"/>
      <c r="O469" s="1" t="str">
        <f t="shared" si="1"/>
        <v> = 'B01002E_002',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2" t="s">
        <v>10</v>
      </c>
      <c r="B470" s="1"/>
      <c r="C470" s="7" t="s">
        <v>613</v>
      </c>
      <c r="D470" s="7" t="s">
        <v>1159</v>
      </c>
      <c r="E470" s="7" t="s">
        <v>1635</v>
      </c>
      <c r="F470" s="3" t="str">
        <f>IFERROR(__xludf.DUMMYFUNCTION("REGEXREPLACE(E470, ""[^A-Za-z0-9]"", """")"),"MedianAgebySexNativeHawaiianandOtherPacificIslanderAlone")</f>
        <v>MedianAgebySexNativeHawaiianandOtherPacificIslanderAlone</v>
      </c>
      <c r="G470" s="7"/>
      <c r="H470" s="7" t="s">
        <v>1610</v>
      </c>
      <c r="I470" s="1" t="s">
        <v>1640</v>
      </c>
      <c r="J470" s="7" t="s">
        <v>1641</v>
      </c>
      <c r="K470" s="1"/>
      <c r="L470" s="1" t="s">
        <v>1613</v>
      </c>
      <c r="M470" s="1"/>
      <c r="N470" s="1"/>
      <c r="O470" s="1" t="str">
        <f t="shared" si="1"/>
        <v> = 'B01002E_003',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2" t="s">
        <v>10</v>
      </c>
      <c r="B471" s="1"/>
      <c r="C471" s="7" t="s">
        <v>613</v>
      </c>
      <c r="D471" s="7" t="s">
        <v>1159</v>
      </c>
      <c r="E471" s="7" t="s">
        <v>1642</v>
      </c>
      <c r="F471" s="3" t="str">
        <f>IFERROR(__xludf.DUMMYFUNCTION("REGEXREPLACE(E471, ""[^A-Za-z0-9]"", """")"),"MedianAgebySexSomeOtherRaceAlone")</f>
        <v>MedianAgebySexSomeOtherRaceAlone</v>
      </c>
      <c r="G471" s="7"/>
      <c r="H471" s="7" t="s">
        <v>1602</v>
      </c>
      <c r="I471" s="1" t="s">
        <v>1643</v>
      </c>
      <c r="J471" s="7" t="s">
        <v>1644</v>
      </c>
      <c r="K471" s="1"/>
      <c r="L471" s="1" t="s">
        <v>1605</v>
      </c>
      <c r="M471" s="1"/>
      <c r="N471" s="1"/>
      <c r="O471" s="1" t="str">
        <f t="shared" si="1"/>
        <v> = 'B01002F_001',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2" t="s">
        <v>10</v>
      </c>
      <c r="B472" s="1"/>
      <c r="C472" s="7" t="s">
        <v>613</v>
      </c>
      <c r="D472" s="7" t="s">
        <v>1159</v>
      </c>
      <c r="E472" s="7" t="s">
        <v>1642</v>
      </c>
      <c r="F472" s="3" t="str">
        <f>IFERROR(__xludf.DUMMYFUNCTION("REGEXREPLACE(E472, ""[^A-Za-z0-9]"", """")"),"MedianAgebySexSomeOtherRaceAlone")</f>
        <v>MedianAgebySexSomeOtherRaceAlone</v>
      </c>
      <c r="G472" s="7"/>
      <c r="H472" s="7" t="s">
        <v>1606</v>
      </c>
      <c r="I472" s="1" t="s">
        <v>1645</v>
      </c>
      <c r="J472" s="7" t="s">
        <v>1646</v>
      </c>
      <c r="K472" s="1"/>
      <c r="L472" s="1" t="s">
        <v>1609</v>
      </c>
      <c r="M472" s="1"/>
      <c r="N472" s="1"/>
      <c r="O472" s="1" t="str">
        <f t="shared" si="1"/>
        <v> = 'B01002F_002',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2" t="s">
        <v>10</v>
      </c>
      <c r="B473" s="1"/>
      <c r="C473" s="7" t="s">
        <v>613</v>
      </c>
      <c r="D473" s="7" t="s">
        <v>1159</v>
      </c>
      <c r="E473" s="7" t="s">
        <v>1642</v>
      </c>
      <c r="F473" s="3" t="str">
        <f>IFERROR(__xludf.DUMMYFUNCTION("REGEXREPLACE(E473, ""[^A-Za-z0-9]"", """")"),"MedianAgebySexSomeOtherRaceAlone")</f>
        <v>MedianAgebySexSomeOtherRaceAlone</v>
      </c>
      <c r="G473" s="7"/>
      <c r="H473" s="7" t="s">
        <v>1610</v>
      </c>
      <c r="I473" s="1" t="s">
        <v>1647</v>
      </c>
      <c r="J473" s="7" t="s">
        <v>1648</v>
      </c>
      <c r="K473" s="1"/>
      <c r="L473" s="1" t="s">
        <v>1613</v>
      </c>
      <c r="M473" s="1"/>
      <c r="N473" s="1"/>
      <c r="O473" s="1" t="str">
        <f t="shared" si="1"/>
        <v> = 'B01002F_003',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2" t="s">
        <v>10</v>
      </c>
      <c r="B474" s="1"/>
      <c r="C474" s="7" t="s">
        <v>613</v>
      </c>
      <c r="D474" s="7" t="s">
        <v>1159</v>
      </c>
      <c r="E474" s="7" t="s">
        <v>1649</v>
      </c>
      <c r="F474" s="3" t="str">
        <f>IFERROR(__xludf.DUMMYFUNCTION("REGEXREPLACE(E474, ""[^A-Za-z0-9]"", """")"),"MedianAgebySexTwoorMoreRaces")</f>
        <v>MedianAgebySexTwoorMoreRaces</v>
      </c>
      <c r="G474" s="7"/>
      <c r="H474" s="7" t="s">
        <v>1602</v>
      </c>
      <c r="I474" s="1" t="s">
        <v>1650</v>
      </c>
      <c r="J474" s="7" t="s">
        <v>1651</v>
      </c>
      <c r="K474" s="1"/>
      <c r="L474" s="1" t="s">
        <v>1605</v>
      </c>
      <c r="M474" s="1"/>
      <c r="N474" s="1"/>
      <c r="O474" s="1" t="str">
        <f t="shared" si="1"/>
        <v> = 'B01002G_001',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2" t="s">
        <v>10</v>
      </c>
      <c r="B475" s="1"/>
      <c r="C475" s="7" t="s">
        <v>613</v>
      </c>
      <c r="D475" s="7" t="s">
        <v>1159</v>
      </c>
      <c r="E475" s="7" t="s">
        <v>1649</v>
      </c>
      <c r="F475" s="3" t="str">
        <f>IFERROR(__xludf.DUMMYFUNCTION("REGEXREPLACE(E475, ""[^A-Za-z0-9]"", """")"),"MedianAgebySexTwoorMoreRaces")</f>
        <v>MedianAgebySexTwoorMoreRaces</v>
      </c>
      <c r="G475" s="7"/>
      <c r="H475" s="7" t="s">
        <v>1606</v>
      </c>
      <c r="I475" s="1" t="s">
        <v>1652</v>
      </c>
      <c r="J475" s="7" t="s">
        <v>1653</v>
      </c>
      <c r="K475" s="1"/>
      <c r="L475" s="1" t="s">
        <v>1609</v>
      </c>
      <c r="M475" s="1"/>
      <c r="N475" s="1"/>
      <c r="O475" s="1" t="str">
        <f t="shared" si="1"/>
        <v> = 'B01002G_002',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2" t="s">
        <v>10</v>
      </c>
      <c r="B476" s="1"/>
      <c r="C476" s="7" t="s">
        <v>613</v>
      </c>
      <c r="D476" s="7" t="s">
        <v>1159</v>
      </c>
      <c r="E476" s="7" t="s">
        <v>1649</v>
      </c>
      <c r="F476" s="3" t="str">
        <f>IFERROR(__xludf.DUMMYFUNCTION("REGEXREPLACE(E476, ""[^A-Za-z0-9]"", """")"),"MedianAgebySexTwoorMoreRaces")</f>
        <v>MedianAgebySexTwoorMoreRaces</v>
      </c>
      <c r="G476" s="7"/>
      <c r="H476" s="7" t="s">
        <v>1610</v>
      </c>
      <c r="I476" s="1" t="s">
        <v>1654</v>
      </c>
      <c r="J476" s="7" t="s">
        <v>1655</v>
      </c>
      <c r="K476" s="1"/>
      <c r="L476" s="1" t="s">
        <v>1613</v>
      </c>
      <c r="M476" s="1"/>
      <c r="N476" s="1"/>
      <c r="O476" s="1" t="str">
        <f t="shared" si="1"/>
        <v> = 'B01002G_003',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2" t="s">
        <v>10</v>
      </c>
      <c r="B477" s="1"/>
      <c r="C477" s="7" t="s">
        <v>613</v>
      </c>
      <c r="D477" s="7" t="s">
        <v>1159</v>
      </c>
      <c r="E477" s="7" t="s">
        <v>1656</v>
      </c>
      <c r="F477" s="3" t="str">
        <f>IFERROR(__xludf.DUMMYFUNCTION("REGEXREPLACE(E477, ""[^A-Za-z0-9]"", """")"),"MedianAgebySexWhiteAloneNotHispanicorLatino")</f>
        <v>MedianAgebySexWhiteAloneNotHispanicorLatino</v>
      </c>
      <c r="G477" s="7"/>
      <c r="H477" s="7" t="s">
        <v>1602</v>
      </c>
      <c r="I477" s="1" t="s">
        <v>1657</v>
      </c>
      <c r="J477" s="7" t="s">
        <v>1658</v>
      </c>
      <c r="K477" s="1"/>
      <c r="L477" s="1" t="s">
        <v>1605</v>
      </c>
      <c r="M477" s="1"/>
      <c r="N477" s="1"/>
      <c r="O477" s="1" t="str">
        <f t="shared" si="1"/>
        <v> = 'B01002H_001',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2" t="s">
        <v>10</v>
      </c>
      <c r="B478" s="1"/>
      <c r="C478" s="7" t="s">
        <v>613</v>
      </c>
      <c r="D478" s="7" t="s">
        <v>1159</v>
      </c>
      <c r="E478" s="7" t="s">
        <v>1656</v>
      </c>
      <c r="F478" s="3" t="str">
        <f>IFERROR(__xludf.DUMMYFUNCTION("REGEXREPLACE(E478, ""[^A-Za-z0-9]"", """")"),"MedianAgebySexWhiteAloneNotHispanicorLatino")</f>
        <v>MedianAgebySexWhiteAloneNotHispanicorLatino</v>
      </c>
      <c r="G478" s="7"/>
      <c r="H478" s="7" t="s">
        <v>1606</v>
      </c>
      <c r="I478" s="1" t="s">
        <v>1659</v>
      </c>
      <c r="J478" s="7" t="s">
        <v>1660</v>
      </c>
      <c r="K478" s="1"/>
      <c r="L478" s="1" t="s">
        <v>1609</v>
      </c>
      <c r="M478" s="1"/>
      <c r="N478" s="1"/>
      <c r="O478" s="1" t="str">
        <f t="shared" si="1"/>
        <v> = 'B01002H_002',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2" t="s">
        <v>10</v>
      </c>
      <c r="B479" s="1"/>
      <c r="C479" s="7" t="s">
        <v>613</v>
      </c>
      <c r="D479" s="7" t="s">
        <v>1159</v>
      </c>
      <c r="E479" s="7" t="s">
        <v>1656</v>
      </c>
      <c r="F479" s="3" t="str">
        <f>IFERROR(__xludf.DUMMYFUNCTION("REGEXREPLACE(E479, ""[^A-Za-z0-9]"", """")"),"MedianAgebySexWhiteAloneNotHispanicorLatino")</f>
        <v>MedianAgebySexWhiteAloneNotHispanicorLatino</v>
      </c>
      <c r="G479" s="7"/>
      <c r="H479" s="7" t="s">
        <v>1610</v>
      </c>
      <c r="I479" s="1" t="s">
        <v>1661</v>
      </c>
      <c r="J479" s="7" t="s">
        <v>1662</v>
      </c>
      <c r="K479" s="1"/>
      <c r="L479" s="1" t="s">
        <v>1613</v>
      </c>
      <c r="M479" s="1"/>
      <c r="N479" s="1"/>
      <c r="O479" s="1" t="str">
        <f t="shared" si="1"/>
        <v> = 'B01002H_003',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2" t="s">
        <v>10</v>
      </c>
      <c r="B480" s="1"/>
      <c r="C480" s="7" t="s">
        <v>613</v>
      </c>
      <c r="D480" s="7" t="s">
        <v>1159</v>
      </c>
      <c r="E480" s="7" t="s">
        <v>1663</v>
      </c>
      <c r="F480" s="3" t="str">
        <f>IFERROR(__xludf.DUMMYFUNCTION("REGEXREPLACE(E480, ""[^A-Za-z0-9]"", """")"),"MedianAgebySexHispanicorLatino")</f>
        <v>MedianAgebySexHispanicorLatino</v>
      </c>
      <c r="G480" s="7"/>
      <c r="H480" s="7" t="s">
        <v>1602</v>
      </c>
      <c r="I480" s="1" t="s">
        <v>1664</v>
      </c>
      <c r="J480" s="7" t="s">
        <v>1665</v>
      </c>
      <c r="K480" s="1"/>
      <c r="L480" s="1" t="s">
        <v>1605</v>
      </c>
      <c r="M480" s="1"/>
      <c r="N480" s="1"/>
      <c r="O480" s="1" t="str">
        <f t="shared" si="1"/>
        <v> = 'B01002I_001',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2" t="s">
        <v>10</v>
      </c>
      <c r="B481" s="1"/>
      <c r="C481" s="7" t="s">
        <v>613</v>
      </c>
      <c r="D481" s="7" t="s">
        <v>1159</v>
      </c>
      <c r="E481" s="7" t="s">
        <v>1663</v>
      </c>
      <c r="F481" s="3" t="str">
        <f>IFERROR(__xludf.DUMMYFUNCTION("REGEXREPLACE(E481, ""[^A-Za-z0-9]"", """")"),"MedianAgebySexHispanicorLatino")</f>
        <v>MedianAgebySexHispanicorLatino</v>
      </c>
      <c r="G481" s="7"/>
      <c r="H481" s="7" t="s">
        <v>1606</v>
      </c>
      <c r="I481" s="1" t="s">
        <v>1666</v>
      </c>
      <c r="J481" s="7" t="s">
        <v>1667</v>
      </c>
      <c r="K481" s="1"/>
      <c r="L481" s="1" t="s">
        <v>1609</v>
      </c>
      <c r="M481" s="1"/>
      <c r="N481" s="1"/>
      <c r="O481" s="1" t="str">
        <f t="shared" si="1"/>
        <v> = 'B01002I_002',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2" t="s">
        <v>10</v>
      </c>
      <c r="B482" s="1"/>
      <c r="C482" s="7" t="s">
        <v>613</v>
      </c>
      <c r="D482" s="7" t="s">
        <v>1159</v>
      </c>
      <c r="E482" s="7" t="s">
        <v>1663</v>
      </c>
      <c r="F482" s="3" t="str">
        <f>IFERROR(__xludf.DUMMYFUNCTION("REGEXREPLACE(E482, ""[^A-Za-z0-9]"", """")"),"MedianAgebySexHispanicorLatino")</f>
        <v>MedianAgebySexHispanicorLatino</v>
      </c>
      <c r="G482" s="7"/>
      <c r="H482" s="7" t="s">
        <v>1610</v>
      </c>
      <c r="I482" s="1" t="s">
        <v>1668</v>
      </c>
      <c r="J482" s="7" t="s">
        <v>1669</v>
      </c>
      <c r="K482" s="1"/>
      <c r="L482" s="1" t="s">
        <v>1613</v>
      </c>
      <c r="M482" s="1"/>
      <c r="N482" s="1"/>
      <c r="O482" s="1" t="str">
        <f t="shared" si="1"/>
        <v> = 'B01002I_003',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2" t="s">
        <v>10</v>
      </c>
      <c r="B483" s="1"/>
      <c r="C483" s="7" t="s">
        <v>613</v>
      </c>
      <c r="D483" s="7" t="s">
        <v>1159</v>
      </c>
      <c r="E483" s="7" t="s">
        <v>1670</v>
      </c>
      <c r="F483" s="3" t="str">
        <f>IFERROR(__xludf.DUMMYFUNCTION("REGEXREPLACE(E483, ""[^A-Za-z0-9]"", """")"),"MedianAgebySex")</f>
        <v>MedianAgebySex</v>
      </c>
      <c r="G483" s="7"/>
      <c r="H483" s="7" t="s">
        <v>1602</v>
      </c>
      <c r="I483" s="1" t="s">
        <v>1671</v>
      </c>
      <c r="J483" s="7" t="s">
        <v>1672</v>
      </c>
      <c r="K483" s="1"/>
      <c r="L483" s="1" t="s">
        <v>1605</v>
      </c>
      <c r="M483" s="1"/>
      <c r="N483" s="1"/>
      <c r="O483" s="1" t="str">
        <f t="shared" si="1"/>
        <v> = 'B01002_001',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2" t="s">
        <v>10</v>
      </c>
      <c r="B484" s="1"/>
      <c r="C484" s="7" t="s">
        <v>613</v>
      </c>
      <c r="D484" s="7" t="s">
        <v>1159</v>
      </c>
      <c r="E484" s="7" t="s">
        <v>1670</v>
      </c>
      <c r="F484" s="3" t="str">
        <f>IFERROR(__xludf.DUMMYFUNCTION("REGEXREPLACE(E484, ""[^A-Za-z0-9]"", """")"),"MedianAgebySex")</f>
        <v>MedianAgebySex</v>
      </c>
      <c r="G484" s="7"/>
      <c r="H484" s="7" t="s">
        <v>1606</v>
      </c>
      <c r="I484" s="1" t="s">
        <v>1673</v>
      </c>
      <c r="J484" s="7" t="s">
        <v>1674</v>
      </c>
      <c r="K484" s="1"/>
      <c r="L484" s="1" t="s">
        <v>1609</v>
      </c>
      <c r="M484" s="1"/>
      <c r="N484" s="1"/>
      <c r="O484" s="1" t="str">
        <f t="shared" si="1"/>
        <v> = 'B01002_002',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2" t="s">
        <v>10</v>
      </c>
      <c r="B485" s="1"/>
      <c r="C485" s="7" t="s">
        <v>613</v>
      </c>
      <c r="D485" s="7" t="s">
        <v>1159</v>
      </c>
      <c r="E485" s="7" t="s">
        <v>1670</v>
      </c>
      <c r="F485" s="3" t="str">
        <f>IFERROR(__xludf.DUMMYFUNCTION("REGEXREPLACE(E485, ""[^A-Za-z0-9]"", """")"),"MedianAgebySex")</f>
        <v>MedianAgebySex</v>
      </c>
      <c r="G485" s="7"/>
      <c r="H485" s="7" t="s">
        <v>1610</v>
      </c>
      <c r="I485" s="1" t="s">
        <v>1675</v>
      </c>
      <c r="J485" s="7" t="s">
        <v>1676</v>
      </c>
      <c r="K485" s="1"/>
      <c r="L485" s="1" t="s">
        <v>1613</v>
      </c>
      <c r="M485" s="1"/>
      <c r="N485" s="1"/>
      <c r="O485" s="1" t="str">
        <f t="shared" si="1"/>
        <v> = 'B01002_003',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2" t="s">
        <v>10</v>
      </c>
      <c r="B486" s="1"/>
      <c r="C486" s="7" t="s">
        <v>613</v>
      </c>
      <c r="D486" s="7" t="s">
        <v>1159</v>
      </c>
      <c r="E486" s="7" t="s">
        <v>1677</v>
      </c>
      <c r="F486" s="3" t="str">
        <f>IFERROR(__xludf.DUMMYFUNCTION("REGEXREPLACE(E486, ""[^A-Za-z0-9]"", """")"),"TotalPopulation")</f>
        <v>TotalPopulation</v>
      </c>
      <c r="G486" s="7"/>
      <c r="H486" s="7" t="s">
        <v>1678</v>
      </c>
      <c r="I486" s="1" t="s">
        <v>1679</v>
      </c>
      <c r="J486" s="7" t="s">
        <v>1680</v>
      </c>
      <c r="K486" s="1"/>
      <c r="L486" s="1" t="e">
        <v>#VALUE!</v>
      </c>
      <c r="M486" s="1"/>
      <c r="N486" s="1"/>
      <c r="O486" s="1" t="str">
        <f t="shared" si="1"/>
        <v> = 'B01003_001',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2" t="s">
        <v>10</v>
      </c>
      <c r="B487" s="1"/>
      <c r="C487" s="7" t="s">
        <v>613</v>
      </c>
      <c r="D487" s="7" t="s">
        <v>1159</v>
      </c>
      <c r="E487" s="7" t="s">
        <v>1681</v>
      </c>
      <c r="F487" s="3" t="str">
        <f>IFERROR(__xludf.DUMMYFUNCTION("REGEXREPLACE(E487, ""[^A-Za-z0-9]"", """")"),"Race")</f>
        <v>Race</v>
      </c>
      <c r="G487" s="7"/>
      <c r="H487" s="7" t="s">
        <v>16</v>
      </c>
      <c r="I487" s="1" t="s">
        <v>1682</v>
      </c>
      <c r="J487" s="7" t="s">
        <v>1683</v>
      </c>
      <c r="K487" s="1"/>
      <c r="L487" s="1" t="s">
        <v>20</v>
      </c>
      <c r="M487" s="1"/>
      <c r="N487" s="1"/>
      <c r="O487" s="1" t="str">
        <f t="shared" si="1"/>
        <v> = 'B02001_001',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2" t="s">
        <v>10</v>
      </c>
      <c r="B488" s="1"/>
      <c r="C488" s="7" t="s">
        <v>613</v>
      </c>
      <c r="D488" s="7" t="s">
        <v>1159</v>
      </c>
      <c r="E488" s="7" t="s">
        <v>1681</v>
      </c>
      <c r="F488" s="3" t="str">
        <f>IFERROR(__xludf.DUMMYFUNCTION("REGEXREPLACE(E488, ""[^A-Za-z0-9]"", """")"),"Race")</f>
        <v>Race</v>
      </c>
      <c r="G488" s="7"/>
      <c r="H488" s="7" t="s">
        <v>1684</v>
      </c>
      <c r="I488" s="1" t="s">
        <v>1685</v>
      </c>
      <c r="J488" s="7" t="s">
        <v>1686</v>
      </c>
      <c r="K488" s="1"/>
      <c r="L488" s="1" t="s">
        <v>1687</v>
      </c>
      <c r="M488" s="1"/>
      <c r="N488" s="1"/>
      <c r="O488" s="1" t="str">
        <f t="shared" si="1"/>
        <v> = 'B02001_002',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2" t="s">
        <v>10</v>
      </c>
      <c r="B489" s="1"/>
      <c r="C489" s="7" t="s">
        <v>613</v>
      </c>
      <c r="D489" s="7" t="s">
        <v>1159</v>
      </c>
      <c r="E489" s="7" t="s">
        <v>1681</v>
      </c>
      <c r="F489" s="3" t="str">
        <f>IFERROR(__xludf.DUMMYFUNCTION("REGEXREPLACE(E489, ""[^A-Za-z0-9]"", """")"),"Race")</f>
        <v>Race</v>
      </c>
      <c r="G489" s="7"/>
      <c r="H489" s="7" t="s">
        <v>1688</v>
      </c>
      <c r="I489" s="1" t="s">
        <v>1689</v>
      </c>
      <c r="J489" s="7" t="s">
        <v>1690</v>
      </c>
      <c r="K489" s="1"/>
      <c r="L489" s="1" t="s">
        <v>1691</v>
      </c>
      <c r="M489" s="1"/>
      <c r="N489" s="1"/>
      <c r="O489" s="1" t="str">
        <f t="shared" si="1"/>
        <v> = 'B02001_003',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2" t="s">
        <v>10</v>
      </c>
      <c r="B490" s="1"/>
      <c r="C490" s="7" t="s">
        <v>613</v>
      </c>
      <c r="D490" s="7" t="s">
        <v>1159</v>
      </c>
      <c r="E490" s="7" t="s">
        <v>1681</v>
      </c>
      <c r="F490" s="3" t="str">
        <f>IFERROR(__xludf.DUMMYFUNCTION("REGEXREPLACE(E490, ""[^A-Za-z0-9]"", """")"),"Race")</f>
        <v>Race</v>
      </c>
      <c r="G490" s="7"/>
      <c r="H490" s="7" t="s">
        <v>1692</v>
      </c>
      <c r="I490" s="1" t="s">
        <v>1693</v>
      </c>
      <c r="J490" s="7" t="s">
        <v>1694</v>
      </c>
      <c r="K490" s="1"/>
      <c r="L490" s="1" t="s">
        <v>1695</v>
      </c>
      <c r="M490" s="1"/>
      <c r="N490" s="1"/>
      <c r="O490" s="1" t="str">
        <f t="shared" si="1"/>
        <v> = 'B02001_004',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2" t="s">
        <v>10</v>
      </c>
      <c r="B491" s="1"/>
      <c r="C491" s="7" t="s">
        <v>613</v>
      </c>
      <c r="D491" s="7" t="s">
        <v>1159</v>
      </c>
      <c r="E491" s="7" t="s">
        <v>1681</v>
      </c>
      <c r="F491" s="3" t="str">
        <f>IFERROR(__xludf.DUMMYFUNCTION("REGEXREPLACE(E491, ""[^A-Za-z0-9]"", """")"),"Race")</f>
        <v>Race</v>
      </c>
      <c r="G491" s="7"/>
      <c r="H491" s="7" t="s">
        <v>1696</v>
      </c>
      <c r="I491" s="1" t="s">
        <v>1697</v>
      </c>
      <c r="J491" s="7" t="s">
        <v>1698</v>
      </c>
      <c r="K491" s="1"/>
      <c r="L491" s="1" t="s">
        <v>1699</v>
      </c>
      <c r="M491" s="1"/>
      <c r="N491" s="1"/>
      <c r="O491" s="1" t="str">
        <f t="shared" si="1"/>
        <v> = 'B02001_005',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2" t="s">
        <v>10</v>
      </c>
      <c r="B492" s="1"/>
      <c r="C492" s="7" t="s">
        <v>613</v>
      </c>
      <c r="D492" s="7" t="s">
        <v>1159</v>
      </c>
      <c r="E492" s="7" t="s">
        <v>1681</v>
      </c>
      <c r="F492" s="3" t="str">
        <f>IFERROR(__xludf.DUMMYFUNCTION("REGEXREPLACE(E492, ""[^A-Za-z0-9]"", """")"),"Race")</f>
        <v>Race</v>
      </c>
      <c r="G492" s="7"/>
      <c r="H492" s="7" t="s">
        <v>1700</v>
      </c>
      <c r="I492" s="1" t="s">
        <v>1701</v>
      </c>
      <c r="J492" s="7" t="s">
        <v>1702</v>
      </c>
      <c r="K492" s="1"/>
      <c r="L492" s="1" t="s">
        <v>1703</v>
      </c>
      <c r="M492" s="1"/>
      <c r="N492" s="1"/>
      <c r="O492" s="1" t="str">
        <f t="shared" si="1"/>
        <v> = 'B02001_006',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2" t="s">
        <v>10</v>
      </c>
      <c r="B493" s="1"/>
      <c r="C493" s="7" t="s">
        <v>613</v>
      </c>
      <c r="D493" s="7" t="s">
        <v>1159</v>
      </c>
      <c r="E493" s="7" t="s">
        <v>1681</v>
      </c>
      <c r="F493" s="3" t="str">
        <f>IFERROR(__xludf.DUMMYFUNCTION("REGEXREPLACE(E493, ""[^A-Za-z0-9]"", """")"),"Race")</f>
        <v>Race</v>
      </c>
      <c r="G493" s="7"/>
      <c r="H493" s="7" t="s">
        <v>1704</v>
      </c>
      <c r="I493" s="1" t="s">
        <v>1705</v>
      </c>
      <c r="J493" s="7" t="s">
        <v>1706</v>
      </c>
      <c r="K493" s="1"/>
      <c r="L493" s="1" t="s">
        <v>1707</v>
      </c>
      <c r="M493" s="1"/>
      <c r="N493" s="1"/>
      <c r="O493" s="1" t="str">
        <f t="shared" si="1"/>
        <v> = 'B02001_007',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2" t="s">
        <v>10</v>
      </c>
      <c r="B494" s="1"/>
      <c r="C494" s="7" t="s">
        <v>613</v>
      </c>
      <c r="D494" s="7" t="s">
        <v>1159</v>
      </c>
      <c r="E494" s="7" t="s">
        <v>1681</v>
      </c>
      <c r="F494" s="3" t="str">
        <f>IFERROR(__xludf.DUMMYFUNCTION("REGEXREPLACE(E494, ""[^A-Za-z0-9]"", """")"),"Race")</f>
        <v>Race</v>
      </c>
      <c r="G494" s="7"/>
      <c r="H494" s="7" t="s">
        <v>1708</v>
      </c>
      <c r="I494" s="1" t="s">
        <v>1709</v>
      </c>
      <c r="J494" s="7" t="s">
        <v>1710</v>
      </c>
      <c r="K494" s="1"/>
      <c r="L494" s="1" t="s">
        <v>1711</v>
      </c>
      <c r="M494" s="1"/>
      <c r="N494" s="1"/>
      <c r="O494" s="1" t="str">
        <f t="shared" si="1"/>
        <v> = 'B02001_008',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2" t="s">
        <v>10</v>
      </c>
      <c r="B495" s="1"/>
      <c r="C495" s="7" t="s">
        <v>613</v>
      </c>
      <c r="D495" s="7" t="s">
        <v>1159</v>
      </c>
      <c r="E495" s="7" t="s">
        <v>1681</v>
      </c>
      <c r="F495" s="3" t="str">
        <f>IFERROR(__xludf.DUMMYFUNCTION("REGEXREPLACE(E495, ""[^A-Za-z0-9]"", """")"),"Race")</f>
        <v>Race</v>
      </c>
      <c r="G495" s="7"/>
      <c r="H495" s="7" t="s">
        <v>1712</v>
      </c>
      <c r="I495" s="1" t="s">
        <v>1713</v>
      </c>
      <c r="J495" s="7" t="s">
        <v>1714</v>
      </c>
      <c r="K495" s="1"/>
      <c r="L495" s="1" t="s">
        <v>1715</v>
      </c>
      <c r="M495" s="1"/>
      <c r="N495" s="1"/>
      <c r="O495" s="1" t="str">
        <f t="shared" si="1"/>
        <v> = 'B02001_009',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2" t="s">
        <v>10</v>
      </c>
      <c r="B496" s="1"/>
      <c r="C496" s="7" t="s">
        <v>613</v>
      </c>
      <c r="D496" s="7" t="s">
        <v>1159</v>
      </c>
      <c r="E496" s="7" t="s">
        <v>1681</v>
      </c>
      <c r="F496" s="3" t="str">
        <f>IFERROR(__xludf.DUMMYFUNCTION("REGEXREPLACE(E496, ""[^A-Za-z0-9]"", """")"),"Race")</f>
        <v>Race</v>
      </c>
      <c r="G496" s="7"/>
      <c r="H496" s="7" t="s">
        <v>1716</v>
      </c>
      <c r="I496" s="1" t="s">
        <v>1717</v>
      </c>
      <c r="J496" s="7" t="s">
        <v>1718</v>
      </c>
      <c r="K496" s="1"/>
      <c r="L496" s="1" t="s">
        <v>1719</v>
      </c>
      <c r="M496" s="1"/>
      <c r="N496" s="1"/>
      <c r="O496" s="1" t="str">
        <f t="shared" si="1"/>
        <v> = 'B02001_010',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2" t="s">
        <v>10</v>
      </c>
      <c r="B497" s="1"/>
      <c r="C497" s="7" t="s">
        <v>1720</v>
      </c>
      <c r="D497" s="7" t="s">
        <v>1159</v>
      </c>
      <c r="E497" s="7" t="s">
        <v>1721</v>
      </c>
      <c r="F497" s="3" t="str">
        <f>IFERROR(__xludf.DUMMYFUNCTION("REGEXREPLACE(E497, ""[^A-Za-z0-9]"", """")"),"LanguageSpokenatHomebyAbilitytoSpeakEnglishforthePopulation5YearsandOver")</f>
        <v>LanguageSpokenatHomebyAbilitytoSpeakEnglishforthePopulation5YearsandOver</v>
      </c>
      <c r="G497" s="7"/>
      <c r="H497" s="7" t="s">
        <v>16</v>
      </c>
      <c r="I497" s="1" t="s">
        <v>1722</v>
      </c>
      <c r="J497" s="7" t="s">
        <v>1723</v>
      </c>
      <c r="K497" s="1"/>
      <c r="L497" s="1" t="s">
        <v>20</v>
      </c>
      <c r="M497" s="1"/>
      <c r="N497" s="1"/>
      <c r="O497" s="1" t="str">
        <f t="shared" si="1"/>
        <v> = 'B16001_001',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2" t="s">
        <v>10</v>
      </c>
      <c r="B498" s="1"/>
      <c r="C498" s="7" t="s">
        <v>1720</v>
      </c>
      <c r="D498" s="7" t="s">
        <v>1159</v>
      </c>
      <c r="E498" s="7" t="s">
        <v>1721</v>
      </c>
      <c r="F498" s="3" t="str">
        <f>IFERROR(__xludf.DUMMYFUNCTION("REGEXREPLACE(E498, ""[^A-Za-z0-9]"", """")"),"LanguageSpokenatHomebyAbilitytoSpeakEnglishforthePopulation5YearsandOver")</f>
        <v>LanguageSpokenatHomebyAbilitytoSpeakEnglishforthePopulation5YearsandOver</v>
      </c>
      <c r="G498" s="7"/>
      <c r="H498" s="7" t="s">
        <v>1724</v>
      </c>
      <c r="I498" s="1" t="s">
        <v>1725</v>
      </c>
      <c r="J498" s="7" t="s">
        <v>1726</v>
      </c>
      <c r="K498" s="1"/>
      <c r="L498" s="1" t="s">
        <v>1727</v>
      </c>
      <c r="M498" s="1"/>
      <c r="N498" s="1"/>
      <c r="O498" s="1" t="str">
        <f t="shared" si="1"/>
        <v> = 'B16001_002',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2" t="s">
        <v>10</v>
      </c>
      <c r="B499" s="1"/>
      <c r="C499" s="7" t="s">
        <v>1720</v>
      </c>
      <c r="D499" s="7" t="s">
        <v>1159</v>
      </c>
      <c r="E499" s="7" t="s">
        <v>1721</v>
      </c>
      <c r="F499" s="3" t="str">
        <f>IFERROR(__xludf.DUMMYFUNCTION("REGEXREPLACE(E499, ""[^A-Za-z0-9]"", """")"),"LanguageSpokenatHomebyAbilitytoSpeakEnglishforthePopulation5YearsandOver")</f>
        <v>LanguageSpokenatHomebyAbilitytoSpeakEnglishforthePopulation5YearsandOver</v>
      </c>
      <c r="G499" s="7"/>
      <c r="H499" s="7" t="s">
        <v>1728</v>
      </c>
      <c r="I499" s="1" t="s">
        <v>1729</v>
      </c>
      <c r="J499" s="7" t="s">
        <v>1730</v>
      </c>
      <c r="K499" s="1"/>
      <c r="L499" s="1" t="s">
        <v>1731</v>
      </c>
      <c r="M499" s="1"/>
      <c r="N499" s="1"/>
      <c r="O499" s="1" t="str">
        <f t="shared" si="1"/>
        <v> = 'B16001_003',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2" t="s">
        <v>10</v>
      </c>
      <c r="B500" s="1"/>
      <c r="C500" s="7" t="s">
        <v>1720</v>
      </c>
      <c r="D500" s="7" t="s">
        <v>1159</v>
      </c>
      <c r="E500" s="7" t="s">
        <v>1721</v>
      </c>
      <c r="F500" s="3" t="str">
        <f>IFERROR(__xludf.DUMMYFUNCTION("REGEXREPLACE(E500, ""[^A-Za-z0-9]"", """")"),"LanguageSpokenatHomebyAbilitytoSpeakEnglishforthePopulation5YearsandOver")</f>
        <v>LanguageSpokenatHomebyAbilitytoSpeakEnglishforthePopulation5YearsandOver</v>
      </c>
      <c r="G500" s="7"/>
      <c r="H500" s="7" t="s">
        <v>1732</v>
      </c>
      <c r="I500" s="1" t="s">
        <v>1733</v>
      </c>
      <c r="J500" s="7" t="s">
        <v>1734</v>
      </c>
      <c r="K500" s="1"/>
      <c r="L500" s="1" t="s">
        <v>1735</v>
      </c>
      <c r="M500" s="1"/>
      <c r="N500" s="1"/>
      <c r="O500" s="1" t="str">
        <f t="shared" si="1"/>
        <v> = 'B16001_004',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2" t="s">
        <v>10</v>
      </c>
      <c r="B501" s="1"/>
      <c r="C501" s="7" t="s">
        <v>1720</v>
      </c>
      <c r="D501" s="7" t="s">
        <v>1159</v>
      </c>
      <c r="E501" s="7" t="s">
        <v>1721</v>
      </c>
      <c r="F501" s="3" t="str">
        <f>IFERROR(__xludf.DUMMYFUNCTION("REGEXREPLACE(E501, ""[^A-Za-z0-9]"", """")"),"LanguageSpokenatHomebyAbilitytoSpeakEnglishforthePopulation5YearsandOver")</f>
        <v>LanguageSpokenatHomebyAbilitytoSpeakEnglishforthePopulation5YearsandOver</v>
      </c>
      <c r="G501" s="7"/>
      <c r="H501" s="7" t="s">
        <v>1736</v>
      </c>
      <c r="I501" s="1" t="s">
        <v>1737</v>
      </c>
      <c r="J501" s="7" t="s">
        <v>1738</v>
      </c>
      <c r="K501" s="1"/>
      <c r="L501" s="1" t="s">
        <v>1739</v>
      </c>
      <c r="M501" s="1"/>
      <c r="N501" s="1"/>
      <c r="O501" s="1" t="str">
        <f t="shared" si="1"/>
        <v> = 'B16001_005',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2" t="s">
        <v>10</v>
      </c>
      <c r="B502" s="1"/>
      <c r="C502" s="7" t="s">
        <v>1720</v>
      </c>
      <c r="D502" s="7" t="s">
        <v>1159</v>
      </c>
      <c r="E502" s="7" t="s">
        <v>1721</v>
      </c>
      <c r="F502" s="3" t="str">
        <f>IFERROR(__xludf.DUMMYFUNCTION("REGEXREPLACE(E502, ""[^A-Za-z0-9]"", """")"),"LanguageSpokenatHomebyAbilitytoSpeakEnglishforthePopulation5YearsandOver")</f>
        <v>LanguageSpokenatHomebyAbilitytoSpeakEnglishforthePopulation5YearsandOver</v>
      </c>
      <c r="G502" s="7"/>
      <c r="H502" s="7" t="s">
        <v>1740</v>
      </c>
      <c r="I502" s="1" t="s">
        <v>1741</v>
      </c>
      <c r="J502" s="7" t="s">
        <v>1742</v>
      </c>
      <c r="K502" s="1"/>
      <c r="L502" s="1" t="s">
        <v>1743</v>
      </c>
      <c r="M502" s="1"/>
      <c r="N502" s="1"/>
      <c r="O502" s="1" t="str">
        <f t="shared" si="1"/>
        <v> = 'B16001_006',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2" t="s">
        <v>10</v>
      </c>
      <c r="B503" s="1"/>
      <c r="C503" s="7" t="s">
        <v>1720</v>
      </c>
      <c r="D503" s="7" t="s">
        <v>1159</v>
      </c>
      <c r="E503" s="7" t="s">
        <v>1721</v>
      </c>
      <c r="F503" s="3" t="str">
        <f>IFERROR(__xludf.DUMMYFUNCTION("REGEXREPLACE(E503, ""[^A-Za-z0-9]"", """")"),"LanguageSpokenatHomebyAbilitytoSpeakEnglishforthePopulation5YearsandOver")</f>
        <v>LanguageSpokenatHomebyAbilitytoSpeakEnglishforthePopulation5YearsandOver</v>
      </c>
      <c r="G503" s="7"/>
      <c r="H503" s="7" t="s">
        <v>1744</v>
      </c>
      <c r="I503" s="1" t="s">
        <v>1745</v>
      </c>
      <c r="J503" s="7" t="s">
        <v>1746</v>
      </c>
      <c r="K503" s="1"/>
      <c r="L503" s="1" t="s">
        <v>1747</v>
      </c>
      <c r="M503" s="1"/>
      <c r="N503" s="1"/>
      <c r="O503" s="1" t="str">
        <f t="shared" si="1"/>
        <v> = 'B16001_007',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2" t="s">
        <v>10</v>
      </c>
      <c r="B504" s="1"/>
      <c r="C504" s="7" t="s">
        <v>1720</v>
      </c>
      <c r="D504" s="7" t="s">
        <v>1159</v>
      </c>
      <c r="E504" s="7" t="s">
        <v>1721</v>
      </c>
      <c r="F504" s="3" t="str">
        <f>IFERROR(__xludf.DUMMYFUNCTION("REGEXREPLACE(E504, ""[^A-Za-z0-9]"", """")"),"LanguageSpokenatHomebyAbilitytoSpeakEnglishforthePopulation5YearsandOver")</f>
        <v>LanguageSpokenatHomebyAbilitytoSpeakEnglishforthePopulation5YearsandOver</v>
      </c>
      <c r="G504" s="7"/>
      <c r="H504" s="7" t="s">
        <v>1748</v>
      </c>
      <c r="I504" s="1" t="s">
        <v>1749</v>
      </c>
      <c r="J504" s="7" t="s">
        <v>1750</v>
      </c>
      <c r="K504" s="1"/>
      <c r="L504" s="1" t="s">
        <v>1751</v>
      </c>
      <c r="M504" s="1"/>
      <c r="N504" s="1"/>
      <c r="O504" s="1" t="str">
        <f t="shared" si="1"/>
        <v> = 'B16001_008',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2" t="s">
        <v>10</v>
      </c>
      <c r="B505" s="1"/>
      <c r="C505" s="7" t="s">
        <v>1720</v>
      </c>
      <c r="D505" s="7" t="s">
        <v>1159</v>
      </c>
      <c r="E505" s="7" t="s">
        <v>1721</v>
      </c>
      <c r="F505" s="3" t="str">
        <f>IFERROR(__xludf.DUMMYFUNCTION("REGEXREPLACE(E505, ""[^A-Za-z0-9]"", """")"),"LanguageSpokenatHomebyAbilitytoSpeakEnglishforthePopulation5YearsandOver")</f>
        <v>LanguageSpokenatHomebyAbilitytoSpeakEnglishforthePopulation5YearsandOver</v>
      </c>
      <c r="G505" s="7"/>
      <c r="H505" s="7" t="s">
        <v>1752</v>
      </c>
      <c r="I505" s="1" t="s">
        <v>1753</v>
      </c>
      <c r="J505" s="7" t="s">
        <v>1754</v>
      </c>
      <c r="K505" s="1"/>
      <c r="L505" s="1" t="s">
        <v>1755</v>
      </c>
      <c r="M505" s="1"/>
      <c r="N505" s="1"/>
      <c r="O505" s="1" t="str">
        <f t="shared" si="1"/>
        <v> = 'B16001_009',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2" t="s">
        <v>10</v>
      </c>
      <c r="B506" s="1"/>
      <c r="C506" s="7" t="s">
        <v>1720</v>
      </c>
      <c r="D506" s="7" t="s">
        <v>1159</v>
      </c>
      <c r="E506" s="7" t="s">
        <v>1721</v>
      </c>
      <c r="F506" s="3" t="str">
        <f>IFERROR(__xludf.DUMMYFUNCTION("REGEXREPLACE(E506, ""[^A-Za-z0-9]"", """")"),"LanguageSpokenatHomebyAbilitytoSpeakEnglishforthePopulation5YearsandOver")</f>
        <v>LanguageSpokenatHomebyAbilitytoSpeakEnglishforthePopulation5YearsandOver</v>
      </c>
      <c r="G506" s="7"/>
      <c r="H506" s="7" t="s">
        <v>1756</v>
      </c>
      <c r="I506" s="1" t="s">
        <v>1757</v>
      </c>
      <c r="J506" s="7" t="s">
        <v>1758</v>
      </c>
      <c r="K506" s="1"/>
      <c r="L506" s="1" t="s">
        <v>1759</v>
      </c>
      <c r="M506" s="1"/>
      <c r="N506" s="1"/>
      <c r="O506" s="1" t="str">
        <f t="shared" si="1"/>
        <v> = 'B16001_010',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2" t="s">
        <v>10</v>
      </c>
      <c r="B507" s="1"/>
      <c r="C507" s="7" t="s">
        <v>1720</v>
      </c>
      <c r="D507" s="7" t="s">
        <v>1159</v>
      </c>
      <c r="E507" s="7" t="s">
        <v>1721</v>
      </c>
      <c r="F507" s="3" t="str">
        <f>IFERROR(__xludf.DUMMYFUNCTION("REGEXREPLACE(E507, ""[^A-Za-z0-9]"", """")"),"LanguageSpokenatHomebyAbilitytoSpeakEnglishforthePopulation5YearsandOver")</f>
        <v>LanguageSpokenatHomebyAbilitytoSpeakEnglishforthePopulation5YearsandOver</v>
      </c>
      <c r="G507" s="7"/>
      <c r="H507" s="7" t="s">
        <v>1760</v>
      </c>
      <c r="I507" s="1" t="s">
        <v>1761</v>
      </c>
      <c r="J507" s="7" t="s">
        <v>1762</v>
      </c>
      <c r="K507" s="1"/>
      <c r="L507" s="1" t="s">
        <v>1763</v>
      </c>
      <c r="M507" s="1"/>
      <c r="N507" s="1"/>
      <c r="O507" s="1" t="str">
        <f t="shared" si="1"/>
        <v> = 'B16001_011',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2" t="s">
        <v>10</v>
      </c>
      <c r="B508" s="1"/>
      <c r="C508" s="7" t="s">
        <v>1720</v>
      </c>
      <c r="D508" s="7" t="s">
        <v>1159</v>
      </c>
      <c r="E508" s="7" t="s">
        <v>1721</v>
      </c>
      <c r="F508" s="3" t="str">
        <f>IFERROR(__xludf.DUMMYFUNCTION("REGEXREPLACE(E508, ""[^A-Za-z0-9]"", """")"),"LanguageSpokenatHomebyAbilitytoSpeakEnglishforthePopulation5YearsandOver")</f>
        <v>LanguageSpokenatHomebyAbilitytoSpeakEnglishforthePopulation5YearsandOver</v>
      </c>
      <c r="G508" s="7"/>
      <c r="H508" s="7" t="s">
        <v>1764</v>
      </c>
      <c r="I508" s="1" t="s">
        <v>1765</v>
      </c>
      <c r="J508" s="7" t="s">
        <v>1766</v>
      </c>
      <c r="K508" s="1"/>
      <c r="L508" s="1" t="s">
        <v>1767</v>
      </c>
      <c r="M508" s="1"/>
      <c r="N508" s="1"/>
      <c r="O508" s="1" t="str">
        <f t="shared" si="1"/>
        <v> = 'B16001_012',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2" t="s">
        <v>10</v>
      </c>
      <c r="B509" s="1"/>
      <c r="C509" s="7" t="s">
        <v>1720</v>
      </c>
      <c r="D509" s="7" t="s">
        <v>1159</v>
      </c>
      <c r="E509" s="7" t="s">
        <v>1721</v>
      </c>
      <c r="F509" s="3" t="str">
        <f>IFERROR(__xludf.DUMMYFUNCTION("REGEXREPLACE(E509, ""[^A-Za-z0-9]"", """")"),"LanguageSpokenatHomebyAbilitytoSpeakEnglishforthePopulation5YearsandOver")</f>
        <v>LanguageSpokenatHomebyAbilitytoSpeakEnglishforthePopulation5YearsandOver</v>
      </c>
      <c r="G509" s="7"/>
      <c r="H509" s="7" t="s">
        <v>1768</v>
      </c>
      <c r="I509" s="1" t="s">
        <v>1769</v>
      </c>
      <c r="J509" s="7" t="s">
        <v>1770</v>
      </c>
      <c r="K509" s="1"/>
      <c r="L509" s="1" t="s">
        <v>1771</v>
      </c>
      <c r="M509" s="1"/>
      <c r="N509" s="1"/>
      <c r="O509" s="1" t="str">
        <f t="shared" si="1"/>
        <v> = 'B16001_013',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2" t="s">
        <v>10</v>
      </c>
      <c r="B510" s="1"/>
      <c r="C510" s="7" t="s">
        <v>1720</v>
      </c>
      <c r="D510" s="7" t="s">
        <v>1159</v>
      </c>
      <c r="E510" s="7" t="s">
        <v>1721</v>
      </c>
      <c r="F510" s="3" t="str">
        <f>IFERROR(__xludf.DUMMYFUNCTION("REGEXREPLACE(E510, ""[^A-Za-z0-9]"", """")"),"LanguageSpokenatHomebyAbilitytoSpeakEnglishforthePopulation5YearsandOver")</f>
        <v>LanguageSpokenatHomebyAbilitytoSpeakEnglishforthePopulation5YearsandOver</v>
      </c>
      <c r="G510" s="7"/>
      <c r="H510" s="7" t="s">
        <v>1772</v>
      </c>
      <c r="I510" s="1" t="s">
        <v>1773</v>
      </c>
      <c r="J510" s="7" t="s">
        <v>1774</v>
      </c>
      <c r="K510" s="1"/>
      <c r="L510" s="1" t="s">
        <v>1775</v>
      </c>
      <c r="M510" s="1"/>
      <c r="N510" s="1"/>
      <c r="O510" s="1" t="str">
        <f t="shared" si="1"/>
        <v> = 'B16001_014',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2" t="s">
        <v>10</v>
      </c>
      <c r="B511" s="1"/>
      <c r="C511" s="7" t="s">
        <v>1720</v>
      </c>
      <c r="D511" s="7" t="s">
        <v>1159</v>
      </c>
      <c r="E511" s="7" t="s">
        <v>1721</v>
      </c>
      <c r="F511" s="3" t="str">
        <f>IFERROR(__xludf.DUMMYFUNCTION("REGEXREPLACE(E511, ""[^A-Za-z0-9]"", """")"),"LanguageSpokenatHomebyAbilitytoSpeakEnglishforthePopulation5YearsandOver")</f>
        <v>LanguageSpokenatHomebyAbilitytoSpeakEnglishforthePopulation5YearsandOver</v>
      </c>
      <c r="G511" s="7"/>
      <c r="H511" s="7" t="s">
        <v>1776</v>
      </c>
      <c r="I511" s="1" t="s">
        <v>1777</v>
      </c>
      <c r="J511" s="7" t="s">
        <v>1778</v>
      </c>
      <c r="K511" s="1"/>
      <c r="L511" s="1" t="s">
        <v>1779</v>
      </c>
      <c r="M511" s="1"/>
      <c r="N511" s="1"/>
      <c r="O511" s="1" t="str">
        <f t="shared" si="1"/>
        <v> = 'B16001_015',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2" t="s">
        <v>10</v>
      </c>
      <c r="B512" s="1"/>
      <c r="C512" s="7" t="s">
        <v>1720</v>
      </c>
      <c r="D512" s="7" t="s">
        <v>1159</v>
      </c>
      <c r="E512" s="7" t="s">
        <v>1721</v>
      </c>
      <c r="F512" s="3" t="str">
        <f>IFERROR(__xludf.DUMMYFUNCTION("REGEXREPLACE(E512, ""[^A-Za-z0-9]"", """")"),"LanguageSpokenatHomebyAbilitytoSpeakEnglishforthePopulation5YearsandOver")</f>
        <v>LanguageSpokenatHomebyAbilitytoSpeakEnglishforthePopulation5YearsandOver</v>
      </c>
      <c r="G512" s="7"/>
      <c r="H512" s="7" t="s">
        <v>1780</v>
      </c>
      <c r="I512" s="1" t="s">
        <v>1781</v>
      </c>
      <c r="J512" s="7" t="s">
        <v>1782</v>
      </c>
      <c r="K512" s="1"/>
      <c r="L512" s="1" t="s">
        <v>1783</v>
      </c>
      <c r="M512" s="1"/>
      <c r="N512" s="1"/>
      <c r="O512" s="1" t="str">
        <f t="shared" si="1"/>
        <v> = 'B16001_016',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2" t="s">
        <v>10</v>
      </c>
      <c r="B513" s="1"/>
      <c r="C513" s="7" t="s">
        <v>1720</v>
      </c>
      <c r="D513" s="7" t="s">
        <v>1159</v>
      </c>
      <c r="E513" s="7" t="s">
        <v>1721</v>
      </c>
      <c r="F513" s="3" t="str">
        <f>IFERROR(__xludf.DUMMYFUNCTION("REGEXREPLACE(E513, ""[^A-Za-z0-9]"", """")"),"LanguageSpokenatHomebyAbilitytoSpeakEnglishforthePopulation5YearsandOver")</f>
        <v>LanguageSpokenatHomebyAbilitytoSpeakEnglishforthePopulation5YearsandOver</v>
      </c>
      <c r="G513" s="7"/>
      <c r="H513" s="7" t="s">
        <v>1784</v>
      </c>
      <c r="I513" s="1" t="s">
        <v>1785</v>
      </c>
      <c r="J513" s="7" t="s">
        <v>1786</v>
      </c>
      <c r="K513" s="1"/>
      <c r="L513" s="1" t="s">
        <v>1787</v>
      </c>
      <c r="M513" s="1"/>
      <c r="N513" s="1"/>
      <c r="O513" s="1" t="str">
        <f t="shared" si="1"/>
        <v> = 'B16001_017',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2" t="s">
        <v>10</v>
      </c>
      <c r="B514" s="1"/>
      <c r="C514" s="7" t="s">
        <v>1720</v>
      </c>
      <c r="D514" s="7" t="s">
        <v>1159</v>
      </c>
      <c r="E514" s="7" t="s">
        <v>1721</v>
      </c>
      <c r="F514" s="3" t="str">
        <f>IFERROR(__xludf.DUMMYFUNCTION("REGEXREPLACE(E514, ""[^A-Za-z0-9]"", """")"),"LanguageSpokenatHomebyAbilitytoSpeakEnglishforthePopulation5YearsandOver")</f>
        <v>LanguageSpokenatHomebyAbilitytoSpeakEnglishforthePopulation5YearsandOver</v>
      </c>
      <c r="G514" s="7"/>
      <c r="H514" s="7" t="s">
        <v>1788</v>
      </c>
      <c r="I514" s="1" t="s">
        <v>1789</v>
      </c>
      <c r="J514" s="7" t="s">
        <v>1790</v>
      </c>
      <c r="K514" s="1"/>
      <c r="L514" s="1" t="s">
        <v>1791</v>
      </c>
      <c r="M514" s="1"/>
      <c r="N514" s="1"/>
      <c r="O514" s="1" t="str">
        <f t="shared" si="1"/>
        <v> = 'B16001_018',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2" t="s">
        <v>10</v>
      </c>
      <c r="B515" s="1"/>
      <c r="C515" s="7" t="s">
        <v>1720</v>
      </c>
      <c r="D515" s="7" t="s">
        <v>1159</v>
      </c>
      <c r="E515" s="7" t="s">
        <v>1721</v>
      </c>
      <c r="F515" s="3" t="str">
        <f>IFERROR(__xludf.DUMMYFUNCTION("REGEXREPLACE(E515, ""[^A-Za-z0-9]"", """")"),"LanguageSpokenatHomebyAbilitytoSpeakEnglishforthePopulation5YearsandOver")</f>
        <v>LanguageSpokenatHomebyAbilitytoSpeakEnglishforthePopulation5YearsandOver</v>
      </c>
      <c r="G515" s="7"/>
      <c r="H515" s="7" t="s">
        <v>1792</v>
      </c>
      <c r="I515" s="1" t="s">
        <v>1793</v>
      </c>
      <c r="J515" s="7" t="s">
        <v>1794</v>
      </c>
      <c r="K515" s="1"/>
      <c r="L515" s="1" t="s">
        <v>1795</v>
      </c>
      <c r="M515" s="1"/>
      <c r="N515" s="1"/>
      <c r="O515" s="1" t="str">
        <f t="shared" si="1"/>
        <v> = 'B16001_019',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2" t="s">
        <v>10</v>
      </c>
      <c r="B516" s="1"/>
      <c r="C516" s="7" t="s">
        <v>1720</v>
      </c>
      <c r="D516" s="7" t="s">
        <v>1159</v>
      </c>
      <c r="E516" s="7" t="s">
        <v>1721</v>
      </c>
      <c r="F516" s="3" t="str">
        <f>IFERROR(__xludf.DUMMYFUNCTION("REGEXREPLACE(E516, ""[^A-Za-z0-9]"", """")"),"LanguageSpokenatHomebyAbilitytoSpeakEnglishforthePopulation5YearsandOver")</f>
        <v>LanguageSpokenatHomebyAbilitytoSpeakEnglishforthePopulation5YearsandOver</v>
      </c>
      <c r="G516" s="7"/>
      <c r="H516" s="7" t="s">
        <v>1796</v>
      </c>
      <c r="I516" s="1" t="s">
        <v>1797</v>
      </c>
      <c r="J516" s="7" t="s">
        <v>1798</v>
      </c>
      <c r="K516" s="1"/>
      <c r="L516" s="1" t="s">
        <v>1799</v>
      </c>
      <c r="M516" s="1"/>
      <c r="N516" s="1"/>
      <c r="O516" s="1" t="str">
        <f t="shared" si="1"/>
        <v> = 'B16001_020',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2" t="s">
        <v>10</v>
      </c>
      <c r="B517" s="1"/>
      <c r="C517" s="7" t="s">
        <v>1720</v>
      </c>
      <c r="D517" s="7" t="s">
        <v>1159</v>
      </c>
      <c r="E517" s="7" t="s">
        <v>1721</v>
      </c>
      <c r="F517" s="3" t="str">
        <f>IFERROR(__xludf.DUMMYFUNCTION("REGEXREPLACE(E517, ""[^A-Za-z0-9]"", """")"),"LanguageSpokenatHomebyAbilitytoSpeakEnglishforthePopulation5YearsandOver")</f>
        <v>LanguageSpokenatHomebyAbilitytoSpeakEnglishforthePopulation5YearsandOver</v>
      </c>
      <c r="G517" s="7"/>
      <c r="H517" s="7" t="s">
        <v>1800</v>
      </c>
      <c r="I517" s="1" t="s">
        <v>1801</v>
      </c>
      <c r="J517" s="7" t="s">
        <v>1802</v>
      </c>
      <c r="K517" s="1"/>
      <c r="L517" s="1" t="s">
        <v>1803</v>
      </c>
      <c r="M517" s="1"/>
      <c r="N517" s="1"/>
      <c r="O517" s="1" t="str">
        <f t="shared" si="1"/>
        <v> = 'B16001_021',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2" t="s">
        <v>10</v>
      </c>
      <c r="B518" s="1"/>
      <c r="C518" s="7" t="s">
        <v>1720</v>
      </c>
      <c r="D518" s="7" t="s">
        <v>1159</v>
      </c>
      <c r="E518" s="7" t="s">
        <v>1721</v>
      </c>
      <c r="F518" s="3" t="str">
        <f>IFERROR(__xludf.DUMMYFUNCTION("REGEXREPLACE(E518, ""[^A-Za-z0-9]"", """")"),"LanguageSpokenatHomebyAbilitytoSpeakEnglishforthePopulation5YearsandOver")</f>
        <v>LanguageSpokenatHomebyAbilitytoSpeakEnglishforthePopulation5YearsandOver</v>
      </c>
      <c r="G518" s="7"/>
      <c r="H518" s="7" t="s">
        <v>1804</v>
      </c>
      <c r="I518" s="1" t="s">
        <v>1805</v>
      </c>
      <c r="J518" s="7" t="s">
        <v>1806</v>
      </c>
      <c r="K518" s="1"/>
      <c r="L518" s="1" t="s">
        <v>1807</v>
      </c>
      <c r="M518" s="1"/>
      <c r="N518" s="1"/>
      <c r="O518" s="1" t="str">
        <f t="shared" si="1"/>
        <v> = 'B16001_022',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2" t="s">
        <v>10</v>
      </c>
      <c r="B519" s="1"/>
      <c r="C519" s="7" t="s">
        <v>1720</v>
      </c>
      <c r="D519" s="7" t="s">
        <v>1159</v>
      </c>
      <c r="E519" s="7" t="s">
        <v>1721</v>
      </c>
      <c r="F519" s="3" t="str">
        <f>IFERROR(__xludf.DUMMYFUNCTION("REGEXREPLACE(E519, ""[^A-Za-z0-9]"", """")"),"LanguageSpokenatHomebyAbilitytoSpeakEnglishforthePopulation5YearsandOver")</f>
        <v>LanguageSpokenatHomebyAbilitytoSpeakEnglishforthePopulation5YearsandOver</v>
      </c>
      <c r="G519" s="7"/>
      <c r="H519" s="7" t="s">
        <v>1808</v>
      </c>
      <c r="I519" s="1" t="s">
        <v>1809</v>
      </c>
      <c r="J519" s="7" t="s">
        <v>1810</v>
      </c>
      <c r="K519" s="1"/>
      <c r="L519" s="1" t="s">
        <v>1811</v>
      </c>
      <c r="M519" s="1"/>
      <c r="N519" s="1"/>
      <c r="O519" s="1" t="str">
        <f t="shared" si="1"/>
        <v> = 'B16001_023',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2" t="s">
        <v>10</v>
      </c>
      <c r="B520" s="1"/>
      <c r="C520" s="7" t="s">
        <v>1720</v>
      </c>
      <c r="D520" s="7" t="s">
        <v>1159</v>
      </c>
      <c r="E520" s="7" t="s">
        <v>1721</v>
      </c>
      <c r="F520" s="3" t="str">
        <f>IFERROR(__xludf.DUMMYFUNCTION("REGEXREPLACE(E520, ""[^A-Za-z0-9]"", """")"),"LanguageSpokenatHomebyAbilitytoSpeakEnglishforthePopulation5YearsandOver")</f>
        <v>LanguageSpokenatHomebyAbilitytoSpeakEnglishforthePopulation5YearsandOver</v>
      </c>
      <c r="G520" s="7"/>
      <c r="H520" s="7" t="s">
        <v>1812</v>
      </c>
      <c r="I520" s="1" t="s">
        <v>1813</v>
      </c>
      <c r="J520" s="7" t="s">
        <v>1814</v>
      </c>
      <c r="K520" s="1"/>
      <c r="L520" s="1" t="s">
        <v>1815</v>
      </c>
      <c r="M520" s="1"/>
      <c r="N520" s="1"/>
      <c r="O520" s="1" t="str">
        <f t="shared" si="1"/>
        <v> = 'B16001_024',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2" t="s">
        <v>10</v>
      </c>
      <c r="B521" s="1"/>
      <c r="C521" s="7" t="s">
        <v>1720</v>
      </c>
      <c r="D521" s="7" t="s">
        <v>1159</v>
      </c>
      <c r="E521" s="7" t="s">
        <v>1721</v>
      </c>
      <c r="F521" s="3" t="str">
        <f>IFERROR(__xludf.DUMMYFUNCTION("REGEXREPLACE(E521, ""[^A-Za-z0-9]"", """")"),"LanguageSpokenatHomebyAbilitytoSpeakEnglishforthePopulation5YearsandOver")</f>
        <v>LanguageSpokenatHomebyAbilitytoSpeakEnglishforthePopulation5YearsandOver</v>
      </c>
      <c r="G521" s="7"/>
      <c r="H521" s="7" t="s">
        <v>1816</v>
      </c>
      <c r="I521" s="1" t="s">
        <v>1817</v>
      </c>
      <c r="J521" s="7" t="s">
        <v>1818</v>
      </c>
      <c r="K521" s="1"/>
      <c r="L521" s="1" t="s">
        <v>1819</v>
      </c>
      <c r="M521" s="1"/>
      <c r="N521" s="1"/>
      <c r="O521" s="1" t="str">
        <f t="shared" si="1"/>
        <v> = 'B16001_025',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2" t="s">
        <v>10</v>
      </c>
      <c r="B522" s="1"/>
      <c r="C522" s="7" t="s">
        <v>1720</v>
      </c>
      <c r="D522" s="7" t="s">
        <v>1159</v>
      </c>
      <c r="E522" s="7" t="s">
        <v>1721</v>
      </c>
      <c r="F522" s="3" t="str">
        <f>IFERROR(__xludf.DUMMYFUNCTION("REGEXREPLACE(E522, ""[^A-Za-z0-9]"", """")"),"LanguageSpokenatHomebyAbilitytoSpeakEnglishforthePopulation5YearsandOver")</f>
        <v>LanguageSpokenatHomebyAbilitytoSpeakEnglishforthePopulation5YearsandOver</v>
      </c>
      <c r="G522" s="7"/>
      <c r="H522" s="7" t="s">
        <v>1820</v>
      </c>
      <c r="I522" s="1" t="s">
        <v>1821</v>
      </c>
      <c r="J522" s="7" t="s">
        <v>1822</v>
      </c>
      <c r="K522" s="1"/>
      <c r="L522" s="1" t="s">
        <v>1823</v>
      </c>
      <c r="M522" s="1"/>
      <c r="N522" s="1"/>
      <c r="O522" s="1" t="str">
        <f t="shared" si="1"/>
        <v> = 'B16001_026',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2" t="s">
        <v>10</v>
      </c>
      <c r="B523" s="1"/>
      <c r="C523" s="7" t="s">
        <v>1720</v>
      </c>
      <c r="D523" s="7" t="s">
        <v>1159</v>
      </c>
      <c r="E523" s="7" t="s">
        <v>1721</v>
      </c>
      <c r="F523" s="3" t="str">
        <f>IFERROR(__xludf.DUMMYFUNCTION("REGEXREPLACE(E523, ""[^A-Za-z0-9]"", """")"),"LanguageSpokenatHomebyAbilitytoSpeakEnglishforthePopulation5YearsandOver")</f>
        <v>LanguageSpokenatHomebyAbilitytoSpeakEnglishforthePopulation5YearsandOver</v>
      </c>
      <c r="G523" s="7"/>
      <c r="H523" s="7" t="s">
        <v>1824</v>
      </c>
      <c r="I523" s="1" t="s">
        <v>1825</v>
      </c>
      <c r="J523" s="7" t="s">
        <v>1826</v>
      </c>
      <c r="K523" s="1"/>
      <c r="L523" s="1" t="s">
        <v>1827</v>
      </c>
      <c r="M523" s="1"/>
      <c r="N523" s="1"/>
      <c r="O523" s="1" t="str">
        <f t="shared" si="1"/>
        <v> = 'B16001_027',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2" t="s">
        <v>10</v>
      </c>
      <c r="B524" s="1"/>
      <c r="C524" s="7" t="s">
        <v>1720</v>
      </c>
      <c r="D524" s="7" t="s">
        <v>1159</v>
      </c>
      <c r="E524" s="7" t="s">
        <v>1721</v>
      </c>
      <c r="F524" s="3" t="str">
        <f>IFERROR(__xludf.DUMMYFUNCTION("REGEXREPLACE(E524, ""[^A-Za-z0-9]"", """")"),"LanguageSpokenatHomebyAbilitytoSpeakEnglishforthePopulation5YearsandOver")</f>
        <v>LanguageSpokenatHomebyAbilitytoSpeakEnglishforthePopulation5YearsandOver</v>
      </c>
      <c r="G524" s="7"/>
      <c r="H524" s="7" t="s">
        <v>1828</v>
      </c>
      <c r="I524" s="1" t="s">
        <v>1829</v>
      </c>
      <c r="J524" s="7" t="s">
        <v>1830</v>
      </c>
      <c r="K524" s="1"/>
      <c r="L524" s="1" t="s">
        <v>1831</v>
      </c>
      <c r="M524" s="1"/>
      <c r="N524" s="1"/>
      <c r="O524" s="1" t="str">
        <f t="shared" si="1"/>
        <v> = 'B16001_028',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2" t="s">
        <v>10</v>
      </c>
      <c r="B525" s="1"/>
      <c r="C525" s="7" t="s">
        <v>1720</v>
      </c>
      <c r="D525" s="7" t="s">
        <v>1159</v>
      </c>
      <c r="E525" s="7" t="s">
        <v>1721</v>
      </c>
      <c r="F525" s="3" t="str">
        <f>IFERROR(__xludf.DUMMYFUNCTION("REGEXREPLACE(E525, ""[^A-Za-z0-9]"", """")"),"LanguageSpokenatHomebyAbilitytoSpeakEnglishforthePopulation5YearsandOver")</f>
        <v>LanguageSpokenatHomebyAbilitytoSpeakEnglishforthePopulation5YearsandOver</v>
      </c>
      <c r="G525" s="7"/>
      <c r="H525" s="7" t="s">
        <v>1832</v>
      </c>
      <c r="I525" s="1" t="s">
        <v>1833</v>
      </c>
      <c r="J525" s="7" t="s">
        <v>1834</v>
      </c>
      <c r="K525" s="1"/>
      <c r="L525" s="1" t="s">
        <v>1835</v>
      </c>
      <c r="M525" s="1"/>
      <c r="N525" s="1"/>
      <c r="O525" s="1" t="str">
        <f t="shared" si="1"/>
        <v> = 'B16001_029',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2" t="s">
        <v>10</v>
      </c>
      <c r="B526" s="1"/>
      <c r="C526" s="7" t="s">
        <v>1720</v>
      </c>
      <c r="D526" s="7" t="s">
        <v>1159</v>
      </c>
      <c r="E526" s="7" t="s">
        <v>1721</v>
      </c>
      <c r="F526" s="3" t="str">
        <f>IFERROR(__xludf.DUMMYFUNCTION("REGEXREPLACE(E526, ""[^A-Za-z0-9]"", """")"),"LanguageSpokenatHomebyAbilitytoSpeakEnglishforthePopulation5YearsandOver")</f>
        <v>LanguageSpokenatHomebyAbilitytoSpeakEnglishforthePopulation5YearsandOver</v>
      </c>
      <c r="G526" s="7"/>
      <c r="H526" s="7" t="s">
        <v>1836</v>
      </c>
      <c r="I526" s="1" t="s">
        <v>1837</v>
      </c>
      <c r="J526" s="7" t="s">
        <v>1838</v>
      </c>
      <c r="K526" s="1"/>
      <c r="L526" s="1" t="s">
        <v>1839</v>
      </c>
      <c r="M526" s="1"/>
      <c r="N526" s="1"/>
      <c r="O526" s="1" t="str">
        <f t="shared" si="1"/>
        <v> = 'B16001_030',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2" t="s">
        <v>10</v>
      </c>
      <c r="B527" s="1"/>
      <c r="C527" s="7" t="s">
        <v>1720</v>
      </c>
      <c r="D527" s="7" t="s">
        <v>1159</v>
      </c>
      <c r="E527" s="7" t="s">
        <v>1721</v>
      </c>
      <c r="F527" s="3" t="str">
        <f>IFERROR(__xludf.DUMMYFUNCTION("REGEXREPLACE(E527, ""[^A-Za-z0-9]"", """")"),"LanguageSpokenatHomebyAbilitytoSpeakEnglishforthePopulation5YearsandOver")</f>
        <v>LanguageSpokenatHomebyAbilitytoSpeakEnglishforthePopulation5YearsandOver</v>
      </c>
      <c r="G527" s="7"/>
      <c r="H527" s="7" t="s">
        <v>1840</v>
      </c>
      <c r="I527" s="1" t="s">
        <v>1841</v>
      </c>
      <c r="J527" s="7" t="s">
        <v>1842</v>
      </c>
      <c r="K527" s="1"/>
      <c r="L527" s="1" t="s">
        <v>1843</v>
      </c>
      <c r="M527" s="1"/>
      <c r="N527" s="1"/>
      <c r="O527" s="1" t="str">
        <f t="shared" si="1"/>
        <v> = 'B16001_031',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2" t="s">
        <v>10</v>
      </c>
      <c r="B528" s="1"/>
      <c r="C528" s="7" t="s">
        <v>1720</v>
      </c>
      <c r="D528" s="7" t="s">
        <v>1159</v>
      </c>
      <c r="E528" s="7" t="s">
        <v>1721</v>
      </c>
      <c r="F528" s="3" t="str">
        <f>IFERROR(__xludf.DUMMYFUNCTION("REGEXREPLACE(E528, ""[^A-Za-z0-9]"", """")"),"LanguageSpokenatHomebyAbilitytoSpeakEnglishforthePopulation5YearsandOver")</f>
        <v>LanguageSpokenatHomebyAbilitytoSpeakEnglishforthePopulation5YearsandOver</v>
      </c>
      <c r="G528" s="7"/>
      <c r="H528" s="7" t="s">
        <v>1844</v>
      </c>
      <c r="I528" s="1" t="s">
        <v>1845</v>
      </c>
      <c r="J528" s="7" t="s">
        <v>1846</v>
      </c>
      <c r="K528" s="1"/>
      <c r="L528" s="1" t="s">
        <v>1847</v>
      </c>
      <c r="M528" s="1"/>
      <c r="N528" s="1"/>
      <c r="O528" s="1" t="str">
        <f t="shared" si="1"/>
        <v> = 'B16001_032',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2" t="s">
        <v>10</v>
      </c>
      <c r="B529" s="1"/>
      <c r="C529" s="7" t="s">
        <v>1720</v>
      </c>
      <c r="D529" s="7" t="s">
        <v>1159</v>
      </c>
      <c r="E529" s="7" t="s">
        <v>1721</v>
      </c>
      <c r="F529" s="3" t="str">
        <f>IFERROR(__xludf.DUMMYFUNCTION("REGEXREPLACE(E529, ""[^A-Za-z0-9]"", """")"),"LanguageSpokenatHomebyAbilitytoSpeakEnglishforthePopulation5YearsandOver")</f>
        <v>LanguageSpokenatHomebyAbilitytoSpeakEnglishforthePopulation5YearsandOver</v>
      </c>
      <c r="G529" s="7"/>
      <c r="H529" s="7" t="s">
        <v>1848</v>
      </c>
      <c r="I529" s="1" t="s">
        <v>1849</v>
      </c>
      <c r="J529" s="7" t="s">
        <v>1850</v>
      </c>
      <c r="K529" s="1"/>
      <c r="L529" s="1" t="s">
        <v>1851</v>
      </c>
      <c r="M529" s="1"/>
      <c r="N529" s="1"/>
      <c r="O529" s="1" t="str">
        <f t="shared" si="1"/>
        <v> = 'B16001_033',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2" t="s">
        <v>10</v>
      </c>
      <c r="B530" s="1"/>
      <c r="C530" s="7" t="s">
        <v>1720</v>
      </c>
      <c r="D530" s="7" t="s">
        <v>1159</v>
      </c>
      <c r="E530" s="7" t="s">
        <v>1721</v>
      </c>
      <c r="F530" s="3" t="str">
        <f>IFERROR(__xludf.DUMMYFUNCTION("REGEXREPLACE(E530, ""[^A-Za-z0-9]"", """")"),"LanguageSpokenatHomebyAbilitytoSpeakEnglishforthePopulation5YearsandOver")</f>
        <v>LanguageSpokenatHomebyAbilitytoSpeakEnglishforthePopulation5YearsandOver</v>
      </c>
      <c r="G530" s="7"/>
      <c r="H530" s="7" t="s">
        <v>1852</v>
      </c>
      <c r="I530" s="1" t="s">
        <v>1853</v>
      </c>
      <c r="J530" s="7" t="s">
        <v>1854</v>
      </c>
      <c r="K530" s="1"/>
      <c r="L530" s="1" t="s">
        <v>1855</v>
      </c>
      <c r="M530" s="1"/>
      <c r="N530" s="1"/>
      <c r="O530" s="1" t="str">
        <f t="shared" si="1"/>
        <v> = 'B16001_034',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2" t="s">
        <v>10</v>
      </c>
      <c r="B531" s="1"/>
      <c r="C531" s="7" t="s">
        <v>1720</v>
      </c>
      <c r="D531" s="7" t="s">
        <v>1159</v>
      </c>
      <c r="E531" s="7" t="s">
        <v>1721</v>
      </c>
      <c r="F531" s="3" t="str">
        <f>IFERROR(__xludf.DUMMYFUNCTION("REGEXREPLACE(E531, ""[^A-Za-z0-9]"", """")"),"LanguageSpokenatHomebyAbilitytoSpeakEnglishforthePopulation5YearsandOver")</f>
        <v>LanguageSpokenatHomebyAbilitytoSpeakEnglishforthePopulation5YearsandOver</v>
      </c>
      <c r="G531" s="7"/>
      <c r="H531" s="7" t="s">
        <v>1856</v>
      </c>
      <c r="I531" s="1" t="s">
        <v>1857</v>
      </c>
      <c r="J531" s="7" t="s">
        <v>1858</v>
      </c>
      <c r="K531" s="1"/>
      <c r="L531" s="1" t="s">
        <v>1859</v>
      </c>
      <c r="M531" s="1"/>
      <c r="N531" s="1"/>
      <c r="O531" s="1" t="str">
        <f t="shared" si="1"/>
        <v> = 'B16001_035',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2" t="s">
        <v>10</v>
      </c>
      <c r="B532" s="1"/>
      <c r="C532" s="7" t="s">
        <v>1720</v>
      </c>
      <c r="D532" s="7" t="s">
        <v>1159</v>
      </c>
      <c r="E532" s="7" t="s">
        <v>1721</v>
      </c>
      <c r="F532" s="3" t="str">
        <f>IFERROR(__xludf.DUMMYFUNCTION("REGEXREPLACE(E532, ""[^A-Za-z0-9]"", """")"),"LanguageSpokenatHomebyAbilitytoSpeakEnglishforthePopulation5YearsandOver")</f>
        <v>LanguageSpokenatHomebyAbilitytoSpeakEnglishforthePopulation5YearsandOver</v>
      </c>
      <c r="G532" s="7"/>
      <c r="H532" s="7" t="s">
        <v>1860</v>
      </c>
      <c r="I532" s="1" t="s">
        <v>1861</v>
      </c>
      <c r="J532" s="7" t="s">
        <v>1862</v>
      </c>
      <c r="K532" s="1"/>
      <c r="L532" s="1" t="s">
        <v>1863</v>
      </c>
      <c r="M532" s="1"/>
      <c r="N532" s="1"/>
      <c r="O532" s="1" t="str">
        <f t="shared" si="1"/>
        <v> = 'B16001_036',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2" t="s">
        <v>10</v>
      </c>
      <c r="B533" s="1"/>
      <c r="C533" s="7" t="s">
        <v>1720</v>
      </c>
      <c r="D533" s="7" t="s">
        <v>1159</v>
      </c>
      <c r="E533" s="7" t="s">
        <v>1721</v>
      </c>
      <c r="F533" s="3" t="str">
        <f>IFERROR(__xludf.DUMMYFUNCTION("REGEXREPLACE(E533, ""[^A-Za-z0-9]"", """")"),"LanguageSpokenatHomebyAbilitytoSpeakEnglishforthePopulation5YearsandOver")</f>
        <v>LanguageSpokenatHomebyAbilitytoSpeakEnglishforthePopulation5YearsandOver</v>
      </c>
      <c r="G533" s="7"/>
      <c r="H533" s="7" t="s">
        <v>1864</v>
      </c>
      <c r="I533" s="1" t="s">
        <v>1865</v>
      </c>
      <c r="J533" s="7" t="s">
        <v>1866</v>
      </c>
      <c r="K533" s="1"/>
      <c r="L533" s="1" t="s">
        <v>1867</v>
      </c>
      <c r="M533" s="1"/>
      <c r="N533" s="1"/>
      <c r="O533" s="1" t="str">
        <f t="shared" si="1"/>
        <v> = 'B16001_037',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2" t="s">
        <v>10</v>
      </c>
      <c r="B534" s="1"/>
      <c r="C534" s="7" t="s">
        <v>1720</v>
      </c>
      <c r="D534" s="7" t="s">
        <v>1159</v>
      </c>
      <c r="E534" s="7" t="s">
        <v>1721</v>
      </c>
      <c r="F534" s="3" t="str">
        <f>IFERROR(__xludf.DUMMYFUNCTION("REGEXREPLACE(E534, ""[^A-Za-z0-9]"", """")"),"LanguageSpokenatHomebyAbilitytoSpeakEnglishforthePopulation5YearsandOver")</f>
        <v>LanguageSpokenatHomebyAbilitytoSpeakEnglishforthePopulation5YearsandOver</v>
      </c>
      <c r="G534" s="7"/>
      <c r="H534" s="7" t="s">
        <v>1868</v>
      </c>
      <c r="I534" s="1" t="s">
        <v>1869</v>
      </c>
      <c r="J534" s="7" t="s">
        <v>1870</v>
      </c>
      <c r="K534" s="1"/>
      <c r="L534" s="1" t="s">
        <v>1871</v>
      </c>
      <c r="M534" s="1"/>
      <c r="N534" s="1"/>
      <c r="O534" s="1" t="str">
        <f t="shared" si="1"/>
        <v> = 'B16001_038',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2" t="s">
        <v>10</v>
      </c>
      <c r="B535" s="1"/>
      <c r="C535" s="7" t="s">
        <v>1720</v>
      </c>
      <c r="D535" s="7" t="s">
        <v>1159</v>
      </c>
      <c r="E535" s="7" t="s">
        <v>1721</v>
      </c>
      <c r="F535" s="3" t="str">
        <f>IFERROR(__xludf.DUMMYFUNCTION("REGEXREPLACE(E535, ""[^A-Za-z0-9]"", """")"),"LanguageSpokenatHomebyAbilitytoSpeakEnglishforthePopulation5YearsandOver")</f>
        <v>LanguageSpokenatHomebyAbilitytoSpeakEnglishforthePopulation5YearsandOver</v>
      </c>
      <c r="G535" s="7"/>
      <c r="H535" s="7" t="s">
        <v>1872</v>
      </c>
      <c r="I535" s="1" t="s">
        <v>1873</v>
      </c>
      <c r="J535" s="7" t="s">
        <v>1874</v>
      </c>
      <c r="K535" s="1"/>
      <c r="L535" s="1" t="s">
        <v>1875</v>
      </c>
      <c r="M535" s="1"/>
      <c r="N535" s="1"/>
      <c r="O535" s="1" t="str">
        <f t="shared" si="1"/>
        <v> = 'B16001_039',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2" t="s">
        <v>10</v>
      </c>
      <c r="B536" s="1"/>
      <c r="C536" s="7" t="s">
        <v>1720</v>
      </c>
      <c r="D536" s="7" t="s">
        <v>1159</v>
      </c>
      <c r="E536" s="7" t="s">
        <v>1721</v>
      </c>
      <c r="F536" s="3" t="str">
        <f>IFERROR(__xludf.DUMMYFUNCTION("REGEXREPLACE(E536, ""[^A-Za-z0-9]"", """")"),"LanguageSpokenatHomebyAbilitytoSpeakEnglishforthePopulation5YearsandOver")</f>
        <v>LanguageSpokenatHomebyAbilitytoSpeakEnglishforthePopulation5YearsandOver</v>
      </c>
      <c r="G536" s="7"/>
      <c r="H536" s="7" t="s">
        <v>1876</v>
      </c>
      <c r="I536" s="1" t="s">
        <v>1877</v>
      </c>
      <c r="J536" s="7" t="s">
        <v>1878</v>
      </c>
      <c r="K536" s="1"/>
      <c r="L536" s="1" t="s">
        <v>1879</v>
      </c>
      <c r="M536" s="1"/>
      <c r="N536" s="1"/>
      <c r="O536" s="1" t="str">
        <f t="shared" si="1"/>
        <v> = 'B16001_040',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2" t="s">
        <v>10</v>
      </c>
      <c r="B537" s="1"/>
      <c r="C537" s="7" t="s">
        <v>1720</v>
      </c>
      <c r="D537" s="7" t="s">
        <v>1159</v>
      </c>
      <c r="E537" s="7" t="s">
        <v>1721</v>
      </c>
      <c r="F537" s="3" t="str">
        <f>IFERROR(__xludf.DUMMYFUNCTION("REGEXREPLACE(E537, ""[^A-Za-z0-9]"", """")"),"LanguageSpokenatHomebyAbilitytoSpeakEnglishforthePopulation5YearsandOver")</f>
        <v>LanguageSpokenatHomebyAbilitytoSpeakEnglishforthePopulation5YearsandOver</v>
      </c>
      <c r="G537" s="7"/>
      <c r="H537" s="7" t="s">
        <v>1880</v>
      </c>
      <c r="I537" s="1" t="s">
        <v>1881</v>
      </c>
      <c r="J537" s="7" t="s">
        <v>1882</v>
      </c>
      <c r="K537" s="1"/>
      <c r="L537" s="1" t="s">
        <v>1883</v>
      </c>
      <c r="M537" s="1"/>
      <c r="N537" s="1"/>
      <c r="O537" s="1" t="str">
        <f t="shared" si="1"/>
        <v> = 'B16001_041',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2" t="s">
        <v>10</v>
      </c>
      <c r="B538" s="1"/>
      <c r="C538" s="7" t="s">
        <v>1720</v>
      </c>
      <c r="D538" s="7" t="s">
        <v>1159</v>
      </c>
      <c r="E538" s="7" t="s">
        <v>1721</v>
      </c>
      <c r="F538" s="3" t="str">
        <f>IFERROR(__xludf.DUMMYFUNCTION("REGEXREPLACE(E538, ""[^A-Za-z0-9]"", """")"),"LanguageSpokenatHomebyAbilitytoSpeakEnglishforthePopulation5YearsandOver")</f>
        <v>LanguageSpokenatHomebyAbilitytoSpeakEnglishforthePopulation5YearsandOver</v>
      </c>
      <c r="G538" s="7"/>
      <c r="H538" s="7" t="s">
        <v>1884</v>
      </c>
      <c r="I538" s="1" t="s">
        <v>1885</v>
      </c>
      <c r="J538" s="7" t="s">
        <v>1886</v>
      </c>
      <c r="K538" s="1"/>
      <c r="L538" s="1" t="s">
        <v>1887</v>
      </c>
      <c r="M538" s="1"/>
      <c r="N538" s="1"/>
      <c r="O538" s="1" t="str">
        <f t="shared" si="1"/>
        <v> = 'B16001_042',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2" t="s">
        <v>10</v>
      </c>
      <c r="B539" s="1"/>
      <c r="C539" s="7" t="s">
        <v>1720</v>
      </c>
      <c r="D539" s="7" t="s">
        <v>1159</v>
      </c>
      <c r="E539" s="7" t="s">
        <v>1721</v>
      </c>
      <c r="F539" s="3" t="str">
        <f>IFERROR(__xludf.DUMMYFUNCTION("REGEXREPLACE(E539, ""[^A-Za-z0-9]"", """")"),"LanguageSpokenatHomebyAbilitytoSpeakEnglishforthePopulation5YearsandOver")</f>
        <v>LanguageSpokenatHomebyAbilitytoSpeakEnglishforthePopulation5YearsandOver</v>
      </c>
      <c r="G539" s="7"/>
      <c r="H539" s="7" t="s">
        <v>1888</v>
      </c>
      <c r="I539" s="1" t="s">
        <v>1889</v>
      </c>
      <c r="J539" s="7" t="s">
        <v>1890</v>
      </c>
      <c r="K539" s="1"/>
      <c r="L539" s="1" t="s">
        <v>1891</v>
      </c>
      <c r="M539" s="1"/>
      <c r="N539" s="1"/>
      <c r="O539" s="1" t="str">
        <f t="shared" si="1"/>
        <v> = 'B16001_043',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2" t="s">
        <v>10</v>
      </c>
      <c r="B540" s="1"/>
      <c r="C540" s="7" t="s">
        <v>1720</v>
      </c>
      <c r="D540" s="7" t="s">
        <v>1159</v>
      </c>
      <c r="E540" s="7" t="s">
        <v>1721</v>
      </c>
      <c r="F540" s="3" t="str">
        <f>IFERROR(__xludf.DUMMYFUNCTION("REGEXREPLACE(E540, ""[^A-Za-z0-9]"", """")"),"LanguageSpokenatHomebyAbilitytoSpeakEnglishforthePopulation5YearsandOver")</f>
        <v>LanguageSpokenatHomebyAbilitytoSpeakEnglishforthePopulation5YearsandOver</v>
      </c>
      <c r="G540" s="7"/>
      <c r="H540" s="7" t="s">
        <v>1892</v>
      </c>
      <c r="I540" s="1" t="s">
        <v>1893</v>
      </c>
      <c r="J540" s="7" t="s">
        <v>1894</v>
      </c>
      <c r="K540" s="1"/>
      <c r="L540" s="1" t="s">
        <v>1895</v>
      </c>
      <c r="M540" s="1"/>
      <c r="N540" s="1"/>
      <c r="O540" s="1" t="str">
        <f t="shared" si="1"/>
        <v> = 'B16001_044',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2" t="s">
        <v>10</v>
      </c>
      <c r="B541" s="1"/>
      <c r="C541" s="7" t="s">
        <v>1720</v>
      </c>
      <c r="D541" s="7" t="s">
        <v>1159</v>
      </c>
      <c r="E541" s="7" t="s">
        <v>1721</v>
      </c>
      <c r="F541" s="3" t="str">
        <f>IFERROR(__xludf.DUMMYFUNCTION("REGEXREPLACE(E541, ""[^A-Za-z0-9]"", """")"),"LanguageSpokenatHomebyAbilitytoSpeakEnglishforthePopulation5YearsandOver")</f>
        <v>LanguageSpokenatHomebyAbilitytoSpeakEnglishforthePopulation5YearsandOver</v>
      </c>
      <c r="G541" s="7"/>
      <c r="H541" s="7" t="s">
        <v>1896</v>
      </c>
      <c r="I541" s="1" t="s">
        <v>1897</v>
      </c>
      <c r="J541" s="7" t="s">
        <v>1898</v>
      </c>
      <c r="K541" s="1"/>
      <c r="L541" s="1" t="s">
        <v>1899</v>
      </c>
      <c r="M541" s="1"/>
      <c r="N541" s="1"/>
      <c r="O541" s="1" t="str">
        <f t="shared" si="1"/>
        <v> = 'B16001_045',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2" t="s">
        <v>10</v>
      </c>
      <c r="B542" s="1"/>
      <c r="C542" s="7" t="s">
        <v>1720</v>
      </c>
      <c r="D542" s="7" t="s">
        <v>1159</v>
      </c>
      <c r="E542" s="7" t="s">
        <v>1721</v>
      </c>
      <c r="F542" s="3" t="str">
        <f>IFERROR(__xludf.DUMMYFUNCTION("REGEXREPLACE(E542, ""[^A-Za-z0-9]"", """")"),"LanguageSpokenatHomebyAbilitytoSpeakEnglishforthePopulation5YearsandOver")</f>
        <v>LanguageSpokenatHomebyAbilitytoSpeakEnglishforthePopulation5YearsandOver</v>
      </c>
      <c r="G542" s="7"/>
      <c r="H542" s="7" t="s">
        <v>1900</v>
      </c>
      <c r="I542" s="1" t="s">
        <v>1901</v>
      </c>
      <c r="J542" s="7" t="s">
        <v>1902</v>
      </c>
      <c r="K542" s="1"/>
      <c r="L542" s="1" t="s">
        <v>1903</v>
      </c>
      <c r="M542" s="1"/>
      <c r="N542" s="1"/>
      <c r="O542" s="1" t="str">
        <f t="shared" si="1"/>
        <v> = 'B16001_046',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2" t="s">
        <v>10</v>
      </c>
      <c r="B543" s="1"/>
      <c r="C543" s="7" t="s">
        <v>1720</v>
      </c>
      <c r="D543" s="7" t="s">
        <v>1159</v>
      </c>
      <c r="E543" s="7" t="s">
        <v>1721</v>
      </c>
      <c r="F543" s="3" t="str">
        <f>IFERROR(__xludf.DUMMYFUNCTION("REGEXREPLACE(E543, ""[^A-Za-z0-9]"", """")"),"LanguageSpokenatHomebyAbilitytoSpeakEnglishforthePopulation5YearsandOver")</f>
        <v>LanguageSpokenatHomebyAbilitytoSpeakEnglishforthePopulation5YearsandOver</v>
      </c>
      <c r="G543" s="7"/>
      <c r="H543" s="7" t="s">
        <v>1904</v>
      </c>
      <c r="I543" s="1" t="s">
        <v>1905</v>
      </c>
      <c r="J543" s="7" t="s">
        <v>1906</v>
      </c>
      <c r="K543" s="1"/>
      <c r="L543" s="1" t="s">
        <v>1907</v>
      </c>
      <c r="M543" s="1"/>
      <c r="N543" s="1"/>
      <c r="O543" s="1" t="str">
        <f t="shared" si="1"/>
        <v> = 'B16001_047',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2" t="s">
        <v>10</v>
      </c>
      <c r="B544" s="1"/>
      <c r="C544" s="7" t="s">
        <v>1720</v>
      </c>
      <c r="D544" s="7" t="s">
        <v>1159</v>
      </c>
      <c r="E544" s="7" t="s">
        <v>1721</v>
      </c>
      <c r="F544" s="3" t="str">
        <f>IFERROR(__xludf.DUMMYFUNCTION("REGEXREPLACE(E544, ""[^A-Za-z0-9]"", """")"),"LanguageSpokenatHomebyAbilitytoSpeakEnglishforthePopulation5YearsandOver")</f>
        <v>LanguageSpokenatHomebyAbilitytoSpeakEnglishforthePopulation5YearsandOver</v>
      </c>
      <c r="G544" s="7"/>
      <c r="H544" s="7" t="s">
        <v>1908</v>
      </c>
      <c r="I544" s="1" t="s">
        <v>1909</v>
      </c>
      <c r="J544" s="7" t="s">
        <v>1910</v>
      </c>
      <c r="K544" s="1"/>
      <c r="L544" s="1" t="s">
        <v>1911</v>
      </c>
      <c r="M544" s="1"/>
      <c r="N544" s="1"/>
      <c r="O544" s="1" t="str">
        <f t="shared" si="1"/>
        <v> = 'B16001_048',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2" t="s">
        <v>10</v>
      </c>
      <c r="B545" s="1"/>
      <c r="C545" s="7" t="s">
        <v>1720</v>
      </c>
      <c r="D545" s="7" t="s">
        <v>1159</v>
      </c>
      <c r="E545" s="7" t="s">
        <v>1721</v>
      </c>
      <c r="F545" s="3" t="str">
        <f>IFERROR(__xludf.DUMMYFUNCTION("REGEXREPLACE(E545, ""[^A-Za-z0-9]"", """")"),"LanguageSpokenatHomebyAbilitytoSpeakEnglishforthePopulation5YearsandOver")</f>
        <v>LanguageSpokenatHomebyAbilitytoSpeakEnglishforthePopulation5YearsandOver</v>
      </c>
      <c r="G545" s="7"/>
      <c r="H545" s="7" t="s">
        <v>1912</v>
      </c>
      <c r="I545" s="1" t="s">
        <v>1913</v>
      </c>
      <c r="J545" s="7" t="s">
        <v>1914</v>
      </c>
      <c r="K545" s="1"/>
      <c r="L545" s="1" t="s">
        <v>1915</v>
      </c>
      <c r="M545" s="1"/>
      <c r="N545" s="1"/>
      <c r="O545" s="1" t="str">
        <f t="shared" si="1"/>
        <v> = 'B16001_049',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2" t="s">
        <v>10</v>
      </c>
      <c r="B546" s="1"/>
      <c r="C546" s="7" t="s">
        <v>1720</v>
      </c>
      <c r="D546" s="7" t="s">
        <v>1159</v>
      </c>
      <c r="E546" s="7" t="s">
        <v>1721</v>
      </c>
      <c r="F546" s="3" t="str">
        <f>IFERROR(__xludf.DUMMYFUNCTION("REGEXREPLACE(E546, ""[^A-Za-z0-9]"", """")"),"LanguageSpokenatHomebyAbilitytoSpeakEnglishforthePopulation5YearsandOver")</f>
        <v>LanguageSpokenatHomebyAbilitytoSpeakEnglishforthePopulation5YearsandOver</v>
      </c>
      <c r="G546" s="7"/>
      <c r="H546" s="7" t="s">
        <v>1916</v>
      </c>
      <c r="I546" s="1" t="s">
        <v>1917</v>
      </c>
      <c r="J546" s="7" t="s">
        <v>1918</v>
      </c>
      <c r="K546" s="1"/>
      <c r="L546" s="1" t="s">
        <v>1919</v>
      </c>
      <c r="M546" s="1"/>
      <c r="N546" s="1"/>
      <c r="O546" s="1" t="str">
        <f t="shared" si="1"/>
        <v> = 'B16001_050',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2" t="s">
        <v>10</v>
      </c>
      <c r="B547" s="1"/>
      <c r="C547" s="7" t="s">
        <v>1720</v>
      </c>
      <c r="D547" s="7" t="s">
        <v>1159</v>
      </c>
      <c r="E547" s="7" t="s">
        <v>1721</v>
      </c>
      <c r="F547" s="3" t="str">
        <f>IFERROR(__xludf.DUMMYFUNCTION("REGEXREPLACE(E547, ""[^A-Za-z0-9]"", """")"),"LanguageSpokenatHomebyAbilitytoSpeakEnglishforthePopulation5YearsandOver")</f>
        <v>LanguageSpokenatHomebyAbilitytoSpeakEnglishforthePopulation5YearsandOver</v>
      </c>
      <c r="G547" s="7"/>
      <c r="H547" s="7" t="s">
        <v>1920</v>
      </c>
      <c r="I547" s="1" t="s">
        <v>1921</v>
      </c>
      <c r="J547" s="7" t="s">
        <v>1922</v>
      </c>
      <c r="K547" s="1"/>
      <c r="L547" s="1" t="s">
        <v>1923</v>
      </c>
      <c r="M547" s="1"/>
      <c r="N547" s="1"/>
      <c r="O547" s="1" t="str">
        <f t="shared" si="1"/>
        <v> = 'B16001_051',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2" t="s">
        <v>10</v>
      </c>
      <c r="B548" s="1"/>
      <c r="C548" s="7" t="s">
        <v>1720</v>
      </c>
      <c r="D548" s="7" t="s">
        <v>1159</v>
      </c>
      <c r="E548" s="7" t="s">
        <v>1721</v>
      </c>
      <c r="F548" s="3" t="str">
        <f>IFERROR(__xludf.DUMMYFUNCTION("REGEXREPLACE(E548, ""[^A-Za-z0-9]"", """")"),"LanguageSpokenatHomebyAbilitytoSpeakEnglishforthePopulation5YearsandOver")</f>
        <v>LanguageSpokenatHomebyAbilitytoSpeakEnglishforthePopulation5YearsandOver</v>
      </c>
      <c r="G548" s="7"/>
      <c r="H548" s="7" t="s">
        <v>1924</v>
      </c>
      <c r="I548" s="1" t="s">
        <v>1925</v>
      </c>
      <c r="J548" s="7" t="s">
        <v>1926</v>
      </c>
      <c r="K548" s="1"/>
      <c r="L548" s="1" t="s">
        <v>1927</v>
      </c>
      <c r="M548" s="1"/>
      <c r="N548" s="1"/>
      <c r="O548" s="1" t="str">
        <f t="shared" si="1"/>
        <v> = 'B16001_052',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2" t="s">
        <v>10</v>
      </c>
      <c r="B549" s="1"/>
      <c r="C549" s="7" t="s">
        <v>1720</v>
      </c>
      <c r="D549" s="7" t="s">
        <v>1159</v>
      </c>
      <c r="E549" s="7" t="s">
        <v>1721</v>
      </c>
      <c r="F549" s="3" t="str">
        <f>IFERROR(__xludf.DUMMYFUNCTION("REGEXREPLACE(E549, ""[^A-Za-z0-9]"", """")"),"LanguageSpokenatHomebyAbilitytoSpeakEnglishforthePopulation5YearsandOver")</f>
        <v>LanguageSpokenatHomebyAbilitytoSpeakEnglishforthePopulation5YearsandOver</v>
      </c>
      <c r="G549" s="7"/>
      <c r="H549" s="7" t="s">
        <v>1928</v>
      </c>
      <c r="I549" s="1" t="s">
        <v>1929</v>
      </c>
      <c r="J549" s="7" t="s">
        <v>1930</v>
      </c>
      <c r="K549" s="1"/>
      <c r="L549" s="1" t="s">
        <v>1931</v>
      </c>
      <c r="M549" s="1"/>
      <c r="N549" s="1"/>
      <c r="O549" s="1" t="str">
        <f t="shared" si="1"/>
        <v> = 'B16001_053',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2" t="s">
        <v>10</v>
      </c>
      <c r="B550" s="1"/>
      <c r="C550" s="7" t="s">
        <v>1720</v>
      </c>
      <c r="D550" s="7" t="s">
        <v>1159</v>
      </c>
      <c r="E550" s="7" t="s">
        <v>1721</v>
      </c>
      <c r="F550" s="3" t="str">
        <f>IFERROR(__xludf.DUMMYFUNCTION("REGEXREPLACE(E550, ""[^A-Za-z0-9]"", """")"),"LanguageSpokenatHomebyAbilitytoSpeakEnglishforthePopulation5YearsandOver")</f>
        <v>LanguageSpokenatHomebyAbilitytoSpeakEnglishforthePopulation5YearsandOver</v>
      </c>
      <c r="G550" s="7"/>
      <c r="H550" s="7" t="s">
        <v>1932</v>
      </c>
      <c r="I550" s="1" t="s">
        <v>1933</v>
      </c>
      <c r="J550" s="7" t="s">
        <v>1934</v>
      </c>
      <c r="K550" s="1"/>
      <c r="L550" s="1" t="s">
        <v>1935</v>
      </c>
      <c r="M550" s="1"/>
      <c r="N550" s="1"/>
      <c r="O550" s="1" t="str">
        <f t="shared" si="1"/>
        <v> = 'B16001_054',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2" t="s">
        <v>10</v>
      </c>
      <c r="B551" s="1"/>
      <c r="C551" s="7" t="s">
        <v>1720</v>
      </c>
      <c r="D551" s="7" t="s">
        <v>1159</v>
      </c>
      <c r="E551" s="7" t="s">
        <v>1721</v>
      </c>
      <c r="F551" s="3" t="str">
        <f>IFERROR(__xludf.DUMMYFUNCTION("REGEXREPLACE(E551, ""[^A-Za-z0-9]"", """")"),"LanguageSpokenatHomebyAbilitytoSpeakEnglishforthePopulation5YearsandOver")</f>
        <v>LanguageSpokenatHomebyAbilitytoSpeakEnglishforthePopulation5YearsandOver</v>
      </c>
      <c r="G551" s="7"/>
      <c r="H551" s="7" t="s">
        <v>1936</v>
      </c>
      <c r="I551" s="1" t="s">
        <v>1937</v>
      </c>
      <c r="J551" s="7" t="s">
        <v>1938</v>
      </c>
      <c r="K551" s="1"/>
      <c r="L551" s="1" t="s">
        <v>1939</v>
      </c>
      <c r="M551" s="1"/>
      <c r="N551" s="1"/>
      <c r="O551" s="1" t="str">
        <f t="shared" si="1"/>
        <v> = 'B16001_055',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2" t="s">
        <v>10</v>
      </c>
      <c r="B552" s="1"/>
      <c r="C552" s="7" t="s">
        <v>1720</v>
      </c>
      <c r="D552" s="7" t="s">
        <v>1159</v>
      </c>
      <c r="E552" s="7" t="s">
        <v>1721</v>
      </c>
      <c r="F552" s="3" t="str">
        <f>IFERROR(__xludf.DUMMYFUNCTION("REGEXREPLACE(E552, ""[^A-Za-z0-9]"", """")"),"LanguageSpokenatHomebyAbilitytoSpeakEnglishforthePopulation5YearsandOver")</f>
        <v>LanguageSpokenatHomebyAbilitytoSpeakEnglishforthePopulation5YearsandOver</v>
      </c>
      <c r="G552" s="7"/>
      <c r="H552" s="7" t="s">
        <v>1940</v>
      </c>
      <c r="I552" s="1" t="s">
        <v>1941</v>
      </c>
      <c r="J552" s="7" t="s">
        <v>1942</v>
      </c>
      <c r="K552" s="1"/>
      <c r="L552" s="1" t="s">
        <v>1943</v>
      </c>
      <c r="M552" s="1"/>
      <c r="N552" s="1"/>
      <c r="O552" s="1" t="str">
        <f t="shared" si="1"/>
        <v> = 'B16001_056',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2" t="s">
        <v>10</v>
      </c>
      <c r="B553" s="1"/>
      <c r="C553" s="7" t="s">
        <v>1720</v>
      </c>
      <c r="D553" s="7" t="s">
        <v>1159</v>
      </c>
      <c r="E553" s="7" t="s">
        <v>1721</v>
      </c>
      <c r="F553" s="3" t="str">
        <f>IFERROR(__xludf.DUMMYFUNCTION("REGEXREPLACE(E553, ""[^A-Za-z0-9]"", """")"),"LanguageSpokenatHomebyAbilitytoSpeakEnglishforthePopulation5YearsandOver")</f>
        <v>LanguageSpokenatHomebyAbilitytoSpeakEnglishforthePopulation5YearsandOver</v>
      </c>
      <c r="G553" s="7"/>
      <c r="H553" s="7" t="s">
        <v>1944</v>
      </c>
      <c r="I553" s="1" t="s">
        <v>1945</v>
      </c>
      <c r="J553" s="7" t="s">
        <v>1946</v>
      </c>
      <c r="K553" s="1"/>
      <c r="L553" s="1" t="s">
        <v>1947</v>
      </c>
      <c r="M553" s="1"/>
      <c r="N553" s="1"/>
      <c r="O553" s="1" t="str">
        <f t="shared" si="1"/>
        <v> = 'B16001_057',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2" t="s">
        <v>10</v>
      </c>
      <c r="B554" s="1"/>
      <c r="C554" s="7" t="s">
        <v>1720</v>
      </c>
      <c r="D554" s="7" t="s">
        <v>1159</v>
      </c>
      <c r="E554" s="7" t="s">
        <v>1721</v>
      </c>
      <c r="F554" s="3" t="str">
        <f>IFERROR(__xludf.DUMMYFUNCTION("REGEXREPLACE(E554, ""[^A-Za-z0-9]"", """")"),"LanguageSpokenatHomebyAbilitytoSpeakEnglishforthePopulation5YearsandOver")</f>
        <v>LanguageSpokenatHomebyAbilitytoSpeakEnglishforthePopulation5YearsandOver</v>
      </c>
      <c r="G554" s="7"/>
      <c r="H554" s="7" t="s">
        <v>1948</v>
      </c>
      <c r="I554" s="1" t="s">
        <v>1949</v>
      </c>
      <c r="J554" s="7" t="s">
        <v>1950</v>
      </c>
      <c r="K554" s="1"/>
      <c r="L554" s="1" t="s">
        <v>1951</v>
      </c>
      <c r="M554" s="1"/>
      <c r="N554" s="1"/>
      <c r="O554" s="1" t="str">
        <f t="shared" si="1"/>
        <v> = 'B16001_058',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2" t="s">
        <v>10</v>
      </c>
      <c r="B555" s="1"/>
      <c r="C555" s="7" t="s">
        <v>1720</v>
      </c>
      <c r="D555" s="7" t="s">
        <v>1159</v>
      </c>
      <c r="E555" s="7" t="s">
        <v>1721</v>
      </c>
      <c r="F555" s="3" t="str">
        <f>IFERROR(__xludf.DUMMYFUNCTION("REGEXREPLACE(E555, ""[^A-Za-z0-9]"", """")"),"LanguageSpokenatHomebyAbilitytoSpeakEnglishforthePopulation5YearsandOver")</f>
        <v>LanguageSpokenatHomebyAbilitytoSpeakEnglishforthePopulation5YearsandOver</v>
      </c>
      <c r="G555" s="7"/>
      <c r="H555" s="7" t="s">
        <v>1952</v>
      </c>
      <c r="I555" s="1" t="s">
        <v>1953</v>
      </c>
      <c r="J555" s="7" t="s">
        <v>1954</v>
      </c>
      <c r="K555" s="1"/>
      <c r="L555" s="1" t="s">
        <v>1955</v>
      </c>
      <c r="M555" s="1"/>
      <c r="N555" s="1"/>
      <c r="O555" s="1" t="str">
        <f t="shared" si="1"/>
        <v> = 'B16001_059',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2" t="s">
        <v>10</v>
      </c>
      <c r="B556" s="1"/>
      <c r="C556" s="7" t="s">
        <v>1720</v>
      </c>
      <c r="D556" s="7" t="s">
        <v>1159</v>
      </c>
      <c r="E556" s="7" t="s">
        <v>1721</v>
      </c>
      <c r="F556" s="3" t="str">
        <f>IFERROR(__xludf.DUMMYFUNCTION("REGEXREPLACE(E556, ""[^A-Za-z0-9]"", """")"),"LanguageSpokenatHomebyAbilitytoSpeakEnglishforthePopulation5YearsandOver")</f>
        <v>LanguageSpokenatHomebyAbilitytoSpeakEnglishforthePopulation5YearsandOver</v>
      </c>
      <c r="G556" s="7"/>
      <c r="H556" s="7" t="s">
        <v>1956</v>
      </c>
      <c r="I556" s="1" t="s">
        <v>1957</v>
      </c>
      <c r="J556" s="7" t="s">
        <v>1958</v>
      </c>
      <c r="K556" s="1"/>
      <c r="L556" s="1" t="s">
        <v>1959</v>
      </c>
      <c r="M556" s="1"/>
      <c r="N556" s="1"/>
      <c r="O556" s="1" t="str">
        <f t="shared" si="1"/>
        <v> = 'B16001_060',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2" t="s">
        <v>10</v>
      </c>
      <c r="B557" s="1"/>
      <c r="C557" s="7" t="s">
        <v>1720</v>
      </c>
      <c r="D557" s="7" t="s">
        <v>1159</v>
      </c>
      <c r="E557" s="7" t="s">
        <v>1721</v>
      </c>
      <c r="F557" s="3" t="str">
        <f>IFERROR(__xludf.DUMMYFUNCTION("REGEXREPLACE(E557, ""[^A-Za-z0-9]"", """")"),"LanguageSpokenatHomebyAbilitytoSpeakEnglishforthePopulation5YearsandOver")</f>
        <v>LanguageSpokenatHomebyAbilitytoSpeakEnglishforthePopulation5YearsandOver</v>
      </c>
      <c r="G557" s="7"/>
      <c r="H557" s="7" t="s">
        <v>1960</v>
      </c>
      <c r="I557" s="1" t="s">
        <v>1961</v>
      </c>
      <c r="J557" s="7" t="s">
        <v>1962</v>
      </c>
      <c r="K557" s="1"/>
      <c r="L557" s="1" t="s">
        <v>1963</v>
      </c>
      <c r="M557" s="1"/>
      <c r="N557" s="1"/>
      <c r="O557" s="1" t="str">
        <f t="shared" si="1"/>
        <v> = 'B16001_061',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2" t="s">
        <v>10</v>
      </c>
      <c r="B558" s="1"/>
      <c r="C558" s="7" t="s">
        <v>1720</v>
      </c>
      <c r="D558" s="7" t="s">
        <v>1159</v>
      </c>
      <c r="E558" s="7" t="s">
        <v>1721</v>
      </c>
      <c r="F558" s="3" t="str">
        <f>IFERROR(__xludf.DUMMYFUNCTION("REGEXREPLACE(E558, ""[^A-Za-z0-9]"", """")"),"LanguageSpokenatHomebyAbilitytoSpeakEnglishforthePopulation5YearsandOver")</f>
        <v>LanguageSpokenatHomebyAbilitytoSpeakEnglishforthePopulation5YearsandOver</v>
      </c>
      <c r="G558" s="7"/>
      <c r="H558" s="7" t="s">
        <v>1964</v>
      </c>
      <c r="I558" s="1" t="s">
        <v>1965</v>
      </c>
      <c r="J558" s="7" t="s">
        <v>1966</v>
      </c>
      <c r="K558" s="1"/>
      <c r="L558" s="1" t="s">
        <v>1967</v>
      </c>
      <c r="M558" s="1"/>
      <c r="N558" s="1"/>
      <c r="O558" s="1" t="str">
        <f t="shared" si="1"/>
        <v> = 'B16001_062',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2" t="s">
        <v>10</v>
      </c>
      <c r="B559" s="1"/>
      <c r="C559" s="7" t="s">
        <v>1720</v>
      </c>
      <c r="D559" s="7" t="s">
        <v>1159</v>
      </c>
      <c r="E559" s="7" t="s">
        <v>1721</v>
      </c>
      <c r="F559" s="3" t="str">
        <f>IFERROR(__xludf.DUMMYFUNCTION("REGEXREPLACE(E559, ""[^A-Za-z0-9]"", """")"),"LanguageSpokenatHomebyAbilitytoSpeakEnglishforthePopulation5YearsandOver")</f>
        <v>LanguageSpokenatHomebyAbilitytoSpeakEnglishforthePopulation5YearsandOver</v>
      </c>
      <c r="G559" s="7"/>
      <c r="H559" s="7" t="s">
        <v>1968</v>
      </c>
      <c r="I559" s="1" t="s">
        <v>1969</v>
      </c>
      <c r="J559" s="7" t="s">
        <v>1970</v>
      </c>
      <c r="K559" s="1"/>
      <c r="L559" s="1" t="s">
        <v>1971</v>
      </c>
      <c r="M559" s="1"/>
      <c r="N559" s="1"/>
      <c r="O559" s="1" t="str">
        <f t="shared" si="1"/>
        <v> = 'B16001_063',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2" t="s">
        <v>10</v>
      </c>
      <c r="B560" s="1"/>
      <c r="C560" s="7" t="s">
        <v>1720</v>
      </c>
      <c r="D560" s="7" t="s">
        <v>1159</v>
      </c>
      <c r="E560" s="7" t="s">
        <v>1721</v>
      </c>
      <c r="F560" s="3" t="str">
        <f>IFERROR(__xludf.DUMMYFUNCTION("REGEXREPLACE(E560, ""[^A-Za-z0-9]"", """")"),"LanguageSpokenatHomebyAbilitytoSpeakEnglishforthePopulation5YearsandOver")</f>
        <v>LanguageSpokenatHomebyAbilitytoSpeakEnglishforthePopulation5YearsandOver</v>
      </c>
      <c r="G560" s="7"/>
      <c r="H560" s="7" t="s">
        <v>1972</v>
      </c>
      <c r="I560" s="1" t="s">
        <v>1973</v>
      </c>
      <c r="J560" s="7" t="s">
        <v>1974</v>
      </c>
      <c r="K560" s="1"/>
      <c r="L560" s="1" t="s">
        <v>1975</v>
      </c>
      <c r="M560" s="1"/>
      <c r="N560" s="1"/>
      <c r="O560" s="1" t="str">
        <f t="shared" si="1"/>
        <v> = 'B16001_064',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2" t="s">
        <v>10</v>
      </c>
      <c r="B561" s="1"/>
      <c r="C561" s="7" t="s">
        <v>1720</v>
      </c>
      <c r="D561" s="7" t="s">
        <v>1159</v>
      </c>
      <c r="E561" s="7" t="s">
        <v>1721</v>
      </c>
      <c r="F561" s="3" t="str">
        <f>IFERROR(__xludf.DUMMYFUNCTION("REGEXREPLACE(E561, ""[^A-Za-z0-9]"", """")"),"LanguageSpokenatHomebyAbilitytoSpeakEnglishforthePopulation5YearsandOver")</f>
        <v>LanguageSpokenatHomebyAbilitytoSpeakEnglishforthePopulation5YearsandOver</v>
      </c>
      <c r="G561" s="7"/>
      <c r="H561" s="7" t="s">
        <v>1976</v>
      </c>
      <c r="I561" s="1" t="s">
        <v>1977</v>
      </c>
      <c r="J561" s="7" t="s">
        <v>1978</v>
      </c>
      <c r="K561" s="1"/>
      <c r="L561" s="1" t="s">
        <v>1979</v>
      </c>
      <c r="M561" s="1"/>
      <c r="N561" s="1"/>
      <c r="O561" s="1" t="str">
        <f t="shared" si="1"/>
        <v> = 'B16001_065',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2" t="s">
        <v>10</v>
      </c>
      <c r="B562" s="1"/>
      <c r="C562" s="7" t="s">
        <v>1720</v>
      </c>
      <c r="D562" s="7" t="s">
        <v>1159</v>
      </c>
      <c r="E562" s="7" t="s">
        <v>1721</v>
      </c>
      <c r="F562" s="3" t="str">
        <f>IFERROR(__xludf.DUMMYFUNCTION("REGEXREPLACE(E562, ""[^A-Za-z0-9]"", """")"),"LanguageSpokenatHomebyAbilitytoSpeakEnglishforthePopulation5YearsandOver")</f>
        <v>LanguageSpokenatHomebyAbilitytoSpeakEnglishforthePopulation5YearsandOver</v>
      </c>
      <c r="G562" s="7"/>
      <c r="H562" s="7" t="s">
        <v>1980</v>
      </c>
      <c r="I562" s="1" t="s">
        <v>1981</v>
      </c>
      <c r="J562" s="7" t="s">
        <v>1982</v>
      </c>
      <c r="K562" s="1"/>
      <c r="L562" s="1" t="s">
        <v>1983</v>
      </c>
      <c r="M562" s="1"/>
      <c r="N562" s="1"/>
      <c r="O562" s="1" t="str">
        <f t="shared" si="1"/>
        <v> = 'B16001_066',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2" t="s">
        <v>10</v>
      </c>
      <c r="B563" s="1"/>
      <c r="C563" s="7" t="s">
        <v>1720</v>
      </c>
      <c r="D563" s="7" t="s">
        <v>1159</v>
      </c>
      <c r="E563" s="7" t="s">
        <v>1721</v>
      </c>
      <c r="F563" s="3" t="str">
        <f>IFERROR(__xludf.DUMMYFUNCTION("REGEXREPLACE(E563, ""[^A-Za-z0-9]"", """")"),"LanguageSpokenatHomebyAbilitytoSpeakEnglishforthePopulation5YearsandOver")</f>
        <v>LanguageSpokenatHomebyAbilitytoSpeakEnglishforthePopulation5YearsandOver</v>
      </c>
      <c r="G563" s="7"/>
      <c r="H563" s="7" t="s">
        <v>1984</v>
      </c>
      <c r="I563" s="1" t="s">
        <v>1985</v>
      </c>
      <c r="J563" s="7" t="s">
        <v>1986</v>
      </c>
      <c r="K563" s="1"/>
      <c r="L563" s="1" t="s">
        <v>1987</v>
      </c>
      <c r="M563" s="1"/>
      <c r="N563" s="1"/>
      <c r="O563" s="1" t="str">
        <f t="shared" si="1"/>
        <v> = 'B16001_067',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2" t="s">
        <v>10</v>
      </c>
      <c r="B564" s="1"/>
      <c r="C564" s="7" t="s">
        <v>1720</v>
      </c>
      <c r="D564" s="7" t="s">
        <v>1159</v>
      </c>
      <c r="E564" s="7" t="s">
        <v>1721</v>
      </c>
      <c r="F564" s="3" t="str">
        <f>IFERROR(__xludf.DUMMYFUNCTION("REGEXREPLACE(E564, ""[^A-Za-z0-9]"", """")"),"LanguageSpokenatHomebyAbilitytoSpeakEnglishforthePopulation5YearsandOver")</f>
        <v>LanguageSpokenatHomebyAbilitytoSpeakEnglishforthePopulation5YearsandOver</v>
      </c>
      <c r="G564" s="7"/>
      <c r="H564" s="7" t="s">
        <v>1988</v>
      </c>
      <c r="I564" s="1" t="s">
        <v>1989</v>
      </c>
      <c r="J564" s="7" t="s">
        <v>1990</v>
      </c>
      <c r="K564" s="1"/>
      <c r="L564" s="1" t="s">
        <v>1991</v>
      </c>
      <c r="M564" s="1"/>
      <c r="N564" s="1"/>
      <c r="O564" s="1" t="str">
        <f t="shared" si="1"/>
        <v> = 'B16001_068',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2" t="s">
        <v>10</v>
      </c>
      <c r="B565" s="1"/>
      <c r="C565" s="7" t="s">
        <v>1720</v>
      </c>
      <c r="D565" s="7" t="s">
        <v>1159</v>
      </c>
      <c r="E565" s="7" t="s">
        <v>1721</v>
      </c>
      <c r="F565" s="3" t="str">
        <f>IFERROR(__xludf.DUMMYFUNCTION("REGEXREPLACE(E565, ""[^A-Za-z0-9]"", """")"),"LanguageSpokenatHomebyAbilitytoSpeakEnglishforthePopulation5YearsandOver")</f>
        <v>LanguageSpokenatHomebyAbilitytoSpeakEnglishforthePopulation5YearsandOver</v>
      </c>
      <c r="G565" s="7"/>
      <c r="H565" s="7" t="s">
        <v>1992</v>
      </c>
      <c r="I565" s="1" t="s">
        <v>1993</v>
      </c>
      <c r="J565" s="7" t="s">
        <v>1994</v>
      </c>
      <c r="K565" s="1"/>
      <c r="L565" s="1" t="s">
        <v>1995</v>
      </c>
      <c r="M565" s="1"/>
      <c r="N565" s="1"/>
      <c r="O565" s="1" t="str">
        <f t="shared" si="1"/>
        <v> = 'B16001_069',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2" t="s">
        <v>10</v>
      </c>
      <c r="B566" s="1"/>
      <c r="C566" s="7" t="s">
        <v>1720</v>
      </c>
      <c r="D566" s="7" t="s">
        <v>1159</v>
      </c>
      <c r="E566" s="7" t="s">
        <v>1721</v>
      </c>
      <c r="F566" s="3" t="str">
        <f>IFERROR(__xludf.DUMMYFUNCTION("REGEXREPLACE(E566, ""[^A-Za-z0-9]"", """")"),"LanguageSpokenatHomebyAbilitytoSpeakEnglishforthePopulation5YearsandOver")</f>
        <v>LanguageSpokenatHomebyAbilitytoSpeakEnglishforthePopulation5YearsandOver</v>
      </c>
      <c r="G566" s="7"/>
      <c r="H566" s="7" t="s">
        <v>1996</v>
      </c>
      <c r="I566" s="1" t="s">
        <v>1997</v>
      </c>
      <c r="J566" s="7" t="s">
        <v>1998</v>
      </c>
      <c r="K566" s="1"/>
      <c r="L566" s="1" t="s">
        <v>1999</v>
      </c>
      <c r="M566" s="1"/>
      <c r="N566" s="1"/>
      <c r="O566" s="1" t="str">
        <f t="shared" si="1"/>
        <v> = 'B16001_070',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2" t="s">
        <v>10</v>
      </c>
      <c r="B567" s="1"/>
      <c r="C567" s="7" t="s">
        <v>1720</v>
      </c>
      <c r="D567" s="7" t="s">
        <v>1159</v>
      </c>
      <c r="E567" s="7" t="s">
        <v>1721</v>
      </c>
      <c r="F567" s="3" t="str">
        <f>IFERROR(__xludf.DUMMYFUNCTION("REGEXREPLACE(E567, ""[^A-Za-z0-9]"", """")"),"LanguageSpokenatHomebyAbilitytoSpeakEnglishforthePopulation5YearsandOver")</f>
        <v>LanguageSpokenatHomebyAbilitytoSpeakEnglishforthePopulation5YearsandOver</v>
      </c>
      <c r="G567" s="7"/>
      <c r="H567" s="7" t="s">
        <v>2000</v>
      </c>
      <c r="I567" s="1" t="s">
        <v>2001</v>
      </c>
      <c r="J567" s="7" t="s">
        <v>2002</v>
      </c>
      <c r="K567" s="1"/>
      <c r="L567" s="1" t="s">
        <v>2003</v>
      </c>
      <c r="M567" s="1"/>
      <c r="N567" s="1"/>
      <c r="O567" s="1" t="str">
        <f t="shared" si="1"/>
        <v> = 'B16001_071',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2" t="s">
        <v>10</v>
      </c>
      <c r="B568" s="1"/>
      <c r="C568" s="7" t="s">
        <v>1720</v>
      </c>
      <c r="D568" s="7" t="s">
        <v>1159</v>
      </c>
      <c r="E568" s="7" t="s">
        <v>1721</v>
      </c>
      <c r="F568" s="3" t="str">
        <f>IFERROR(__xludf.DUMMYFUNCTION("REGEXREPLACE(E568, ""[^A-Za-z0-9]"", """")"),"LanguageSpokenatHomebyAbilitytoSpeakEnglishforthePopulation5YearsandOver")</f>
        <v>LanguageSpokenatHomebyAbilitytoSpeakEnglishforthePopulation5YearsandOver</v>
      </c>
      <c r="G568" s="7"/>
      <c r="H568" s="7" t="s">
        <v>2004</v>
      </c>
      <c r="I568" s="1" t="s">
        <v>2005</v>
      </c>
      <c r="J568" s="7" t="s">
        <v>2006</v>
      </c>
      <c r="K568" s="1"/>
      <c r="L568" s="1" t="s">
        <v>2007</v>
      </c>
      <c r="M568" s="1"/>
      <c r="N568" s="1"/>
      <c r="O568" s="1" t="str">
        <f t="shared" si="1"/>
        <v> = 'B16001_072',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2" t="s">
        <v>10</v>
      </c>
      <c r="B569" s="1"/>
      <c r="C569" s="7" t="s">
        <v>1720</v>
      </c>
      <c r="D569" s="7" t="s">
        <v>1159</v>
      </c>
      <c r="E569" s="7" t="s">
        <v>1721</v>
      </c>
      <c r="F569" s="3" t="str">
        <f>IFERROR(__xludf.DUMMYFUNCTION("REGEXREPLACE(E569, ""[^A-Za-z0-9]"", """")"),"LanguageSpokenatHomebyAbilitytoSpeakEnglishforthePopulation5YearsandOver")</f>
        <v>LanguageSpokenatHomebyAbilitytoSpeakEnglishforthePopulation5YearsandOver</v>
      </c>
      <c r="G569" s="7"/>
      <c r="H569" s="7" t="s">
        <v>2008</v>
      </c>
      <c r="I569" s="1" t="s">
        <v>2009</v>
      </c>
      <c r="J569" s="7" t="s">
        <v>2010</v>
      </c>
      <c r="K569" s="1"/>
      <c r="L569" s="1" t="s">
        <v>2011</v>
      </c>
      <c r="M569" s="1"/>
      <c r="N569" s="1"/>
      <c r="O569" s="1" t="str">
        <f t="shared" si="1"/>
        <v> = 'B16001_073',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2" t="s">
        <v>10</v>
      </c>
      <c r="B570" s="1"/>
      <c r="C570" s="7" t="s">
        <v>1720</v>
      </c>
      <c r="D570" s="7" t="s">
        <v>1159</v>
      </c>
      <c r="E570" s="7" t="s">
        <v>1721</v>
      </c>
      <c r="F570" s="3" t="str">
        <f>IFERROR(__xludf.DUMMYFUNCTION("REGEXREPLACE(E570, ""[^A-Za-z0-9]"", """")"),"LanguageSpokenatHomebyAbilitytoSpeakEnglishforthePopulation5YearsandOver")</f>
        <v>LanguageSpokenatHomebyAbilitytoSpeakEnglishforthePopulation5YearsandOver</v>
      </c>
      <c r="G570" s="7"/>
      <c r="H570" s="7" t="s">
        <v>2012</v>
      </c>
      <c r="I570" s="1" t="s">
        <v>2013</v>
      </c>
      <c r="J570" s="7" t="s">
        <v>2014</v>
      </c>
      <c r="K570" s="1"/>
      <c r="L570" s="1" t="s">
        <v>2015</v>
      </c>
      <c r="M570" s="1"/>
      <c r="N570" s="1"/>
      <c r="O570" s="1" t="str">
        <f t="shared" si="1"/>
        <v> = 'B16001_074',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2" t="s">
        <v>10</v>
      </c>
      <c r="B571" s="1"/>
      <c r="C571" s="7" t="s">
        <v>1720</v>
      </c>
      <c r="D571" s="7" t="s">
        <v>1159</v>
      </c>
      <c r="E571" s="7" t="s">
        <v>1721</v>
      </c>
      <c r="F571" s="3" t="str">
        <f>IFERROR(__xludf.DUMMYFUNCTION("REGEXREPLACE(E571, ""[^A-Za-z0-9]"", """")"),"LanguageSpokenatHomebyAbilitytoSpeakEnglishforthePopulation5YearsandOver")</f>
        <v>LanguageSpokenatHomebyAbilitytoSpeakEnglishforthePopulation5YearsandOver</v>
      </c>
      <c r="G571" s="7"/>
      <c r="H571" s="7" t="s">
        <v>2016</v>
      </c>
      <c r="I571" s="1" t="s">
        <v>2017</v>
      </c>
      <c r="J571" s="7" t="s">
        <v>2018</v>
      </c>
      <c r="K571" s="1"/>
      <c r="L571" s="1" t="s">
        <v>2019</v>
      </c>
      <c r="M571" s="1"/>
      <c r="N571" s="1"/>
      <c r="O571" s="1" t="str">
        <f t="shared" si="1"/>
        <v> = 'B16001_075',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2" t="s">
        <v>10</v>
      </c>
      <c r="B572" s="1"/>
      <c r="C572" s="7" t="s">
        <v>1720</v>
      </c>
      <c r="D572" s="7" t="s">
        <v>1159</v>
      </c>
      <c r="E572" s="7" t="s">
        <v>1721</v>
      </c>
      <c r="F572" s="3" t="str">
        <f>IFERROR(__xludf.DUMMYFUNCTION("REGEXREPLACE(E572, ""[^A-Za-z0-9]"", """")"),"LanguageSpokenatHomebyAbilitytoSpeakEnglishforthePopulation5YearsandOver")</f>
        <v>LanguageSpokenatHomebyAbilitytoSpeakEnglishforthePopulation5YearsandOver</v>
      </c>
      <c r="G572" s="7"/>
      <c r="H572" s="7" t="s">
        <v>2020</v>
      </c>
      <c r="I572" s="1" t="s">
        <v>2021</v>
      </c>
      <c r="J572" s="7" t="s">
        <v>2022</v>
      </c>
      <c r="K572" s="1"/>
      <c r="L572" s="1" t="s">
        <v>2023</v>
      </c>
      <c r="M572" s="1"/>
      <c r="N572" s="1"/>
      <c r="O572" s="1" t="str">
        <f t="shared" si="1"/>
        <v> = 'B16001_076',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2" t="s">
        <v>10</v>
      </c>
      <c r="B573" s="1"/>
      <c r="C573" s="7" t="s">
        <v>1720</v>
      </c>
      <c r="D573" s="7" t="s">
        <v>1159</v>
      </c>
      <c r="E573" s="7" t="s">
        <v>1721</v>
      </c>
      <c r="F573" s="3" t="str">
        <f>IFERROR(__xludf.DUMMYFUNCTION("REGEXREPLACE(E573, ""[^A-Za-z0-9]"", """")"),"LanguageSpokenatHomebyAbilitytoSpeakEnglishforthePopulation5YearsandOver")</f>
        <v>LanguageSpokenatHomebyAbilitytoSpeakEnglishforthePopulation5YearsandOver</v>
      </c>
      <c r="G573" s="7"/>
      <c r="H573" s="7" t="s">
        <v>2024</v>
      </c>
      <c r="I573" s="1" t="s">
        <v>2025</v>
      </c>
      <c r="J573" s="7" t="s">
        <v>2026</v>
      </c>
      <c r="K573" s="1"/>
      <c r="L573" s="1" t="s">
        <v>2027</v>
      </c>
      <c r="M573" s="1"/>
      <c r="N573" s="1"/>
      <c r="O573" s="1" t="str">
        <f t="shared" si="1"/>
        <v> = 'B16001_077',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2" t="s">
        <v>10</v>
      </c>
      <c r="B574" s="1"/>
      <c r="C574" s="7" t="s">
        <v>1720</v>
      </c>
      <c r="D574" s="7" t="s">
        <v>1159</v>
      </c>
      <c r="E574" s="7" t="s">
        <v>1721</v>
      </c>
      <c r="F574" s="3" t="str">
        <f>IFERROR(__xludf.DUMMYFUNCTION("REGEXREPLACE(E574, ""[^A-Za-z0-9]"", """")"),"LanguageSpokenatHomebyAbilitytoSpeakEnglishforthePopulation5YearsandOver")</f>
        <v>LanguageSpokenatHomebyAbilitytoSpeakEnglishforthePopulation5YearsandOver</v>
      </c>
      <c r="G574" s="7"/>
      <c r="H574" s="7" t="s">
        <v>2028</v>
      </c>
      <c r="I574" s="1" t="s">
        <v>2029</v>
      </c>
      <c r="J574" s="7" t="s">
        <v>2030</v>
      </c>
      <c r="K574" s="1"/>
      <c r="L574" s="1" t="s">
        <v>2031</v>
      </c>
      <c r="M574" s="1"/>
      <c r="N574" s="1"/>
      <c r="O574" s="1" t="str">
        <f t="shared" si="1"/>
        <v> = 'B16001_078',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2" t="s">
        <v>10</v>
      </c>
      <c r="B575" s="1"/>
      <c r="C575" s="7" t="s">
        <v>1720</v>
      </c>
      <c r="D575" s="7" t="s">
        <v>1159</v>
      </c>
      <c r="E575" s="7" t="s">
        <v>1721</v>
      </c>
      <c r="F575" s="3" t="str">
        <f>IFERROR(__xludf.DUMMYFUNCTION("REGEXREPLACE(E575, ""[^A-Za-z0-9]"", """")"),"LanguageSpokenatHomebyAbilitytoSpeakEnglishforthePopulation5YearsandOver")</f>
        <v>LanguageSpokenatHomebyAbilitytoSpeakEnglishforthePopulation5YearsandOver</v>
      </c>
      <c r="G575" s="7"/>
      <c r="H575" s="7" t="s">
        <v>2032</v>
      </c>
      <c r="I575" s="1" t="s">
        <v>2033</v>
      </c>
      <c r="J575" s="7" t="s">
        <v>2034</v>
      </c>
      <c r="K575" s="1"/>
      <c r="L575" s="1" t="s">
        <v>2035</v>
      </c>
      <c r="M575" s="1"/>
      <c r="N575" s="1"/>
      <c r="O575" s="1" t="str">
        <f t="shared" si="1"/>
        <v> = 'B16001_079',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2" t="s">
        <v>10</v>
      </c>
      <c r="B576" s="1"/>
      <c r="C576" s="7" t="s">
        <v>1720</v>
      </c>
      <c r="D576" s="7" t="s">
        <v>1159</v>
      </c>
      <c r="E576" s="7" t="s">
        <v>1721</v>
      </c>
      <c r="F576" s="3" t="str">
        <f>IFERROR(__xludf.DUMMYFUNCTION("REGEXREPLACE(E576, ""[^A-Za-z0-9]"", """")"),"LanguageSpokenatHomebyAbilitytoSpeakEnglishforthePopulation5YearsandOver")</f>
        <v>LanguageSpokenatHomebyAbilitytoSpeakEnglishforthePopulation5YearsandOver</v>
      </c>
      <c r="G576" s="7"/>
      <c r="H576" s="7" t="s">
        <v>2036</v>
      </c>
      <c r="I576" s="1" t="s">
        <v>2037</v>
      </c>
      <c r="J576" s="7" t="s">
        <v>2038</v>
      </c>
      <c r="K576" s="1"/>
      <c r="L576" s="1" t="s">
        <v>2039</v>
      </c>
      <c r="M576" s="1"/>
      <c r="N576" s="1"/>
      <c r="O576" s="1" t="str">
        <f t="shared" si="1"/>
        <v> = 'B16001_080',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2" t="s">
        <v>10</v>
      </c>
      <c r="B577" s="1"/>
      <c r="C577" s="7" t="s">
        <v>1720</v>
      </c>
      <c r="D577" s="7" t="s">
        <v>1159</v>
      </c>
      <c r="E577" s="7" t="s">
        <v>1721</v>
      </c>
      <c r="F577" s="3" t="str">
        <f>IFERROR(__xludf.DUMMYFUNCTION("REGEXREPLACE(E577, ""[^A-Za-z0-9]"", """")"),"LanguageSpokenatHomebyAbilitytoSpeakEnglishforthePopulation5YearsandOver")</f>
        <v>LanguageSpokenatHomebyAbilitytoSpeakEnglishforthePopulation5YearsandOver</v>
      </c>
      <c r="G577" s="7"/>
      <c r="H577" s="7" t="s">
        <v>2040</v>
      </c>
      <c r="I577" s="1" t="s">
        <v>2041</v>
      </c>
      <c r="J577" s="7" t="s">
        <v>2042</v>
      </c>
      <c r="K577" s="1"/>
      <c r="L577" s="1" t="s">
        <v>2043</v>
      </c>
      <c r="M577" s="1"/>
      <c r="N577" s="1"/>
      <c r="O577" s="1" t="str">
        <f t="shared" si="1"/>
        <v> = 'B16001_081',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2" t="s">
        <v>10</v>
      </c>
      <c r="B578" s="1"/>
      <c r="C578" s="7" t="s">
        <v>1720</v>
      </c>
      <c r="D578" s="7" t="s">
        <v>1159</v>
      </c>
      <c r="E578" s="7" t="s">
        <v>1721</v>
      </c>
      <c r="F578" s="3" t="str">
        <f>IFERROR(__xludf.DUMMYFUNCTION("REGEXREPLACE(E578, ""[^A-Za-z0-9]"", """")"),"LanguageSpokenatHomebyAbilitytoSpeakEnglishforthePopulation5YearsandOver")</f>
        <v>LanguageSpokenatHomebyAbilitytoSpeakEnglishforthePopulation5YearsandOver</v>
      </c>
      <c r="G578" s="7"/>
      <c r="H578" s="7" t="s">
        <v>2044</v>
      </c>
      <c r="I578" s="1" t="s">
        <v>2045</v>
      </c>
      <c r="J578" s="7" t="s">
        <v>2046</v>
      </c>
      <c r="K578" s="1"/>
      <c r="L578" s="1" t="s">
        <v>2047</v>
      </c>
      <c r="M578" s="1"/>
      <c r="N578" s="1"/>
      <c r="O578" s="1" t="str">
        <f t="shared" si="1"/>
        <v> = 'B16001_082',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2" t="s">
        <v>10</v>
      </c>
      <c r="B579" s="1"/>
      <c r="C579" s="7" t="s">
        <v>1720</v>
      </c>
      <c r="D579" s="7" t="s">
        <v>1159</v>
      </c>
      <c r="E579" s="7" t="s">
        <v>1721</v>
      </c>
      <c r="F579" s="3" t="str">
        <f>IFERROR(__xludf.DUMMYFUNCTION("REGEXREPLACE(E579, ""[^A-Za-z0-9]"", """")"),"LanguageSpokenatHomebyAbilitytoSpeakEnglishforthePopulation5YearsandOver")</f>
        <v>LanguageSpokenatHomebyAbilitytoSpeakEnglishforthePopulation5YearsandOver</v>
      </c>
      <c r="G579" s="7"/>
      <c r="H579" s="7" t="s">
        <v>2048</v>
      </c>
      <c r="I579" s="1" t="s">
        <v>2049</v>
      </c>
      <c r="J579" s="7" t="s">
        <v>2050</v>
      </c>
      <c r="K579" s="1"/>
      <c r="L579" s="1" t="s">
        <v>2051</v>
      </c>
      <c r="M579" s="1"/>
      <c r="N579" s="1"/>
      <c r="O579" s="1" t="str">
        <f t="shared" si="1"/>
        <v> = 'B16001_083',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2" t="s">
        <v>10</v>
      </c>
      <c r="B580" s="1"/>
      <c r="C580" s="7" t="s">
        <v>1720</v>
      </c>
      <c r="D580" s="7" t="s">
        <v>1159</v>
      </c>
      <c r="E580" s="7" t="s">
        <v>1721</v>
      </c>
      <c r="F580" s="3" t="str">
        <f>IFERROR(__xludf.DUMMYFUNCTION("REGEXREPLACE(E580, ""[^A-Za-z0-9]"", """")"),"LanguageSpokenatHomebyAbilitytoSpeakEnglishforthePopulation5YearsandOver")</f>
        <v>LanguageSpokenatHomebyAbilitytoSpeakEnglishforthePopulation5YearsandOver</v>
      </c>
      <c r="G580" s="7"/>
      <c r="H580" s="7" t="s">
        <v>2052</v>
      </c>
      <c r="I580" s="1" t="s">
        <v>2053</v>
      </c>
      <c r="J580" s="7" t="s">
        <v>2054</v>
      </c>
      <c r="K580" s="1"/>
      <c r="L580" s="1" t="s">
        <v>2055</v>
      </c>
      <c r="M580" s="1"/>
      <c r="N580" s="1"/>
      <c r="O580" s="1" t="str">
        <f t="shared" si="1"/>
        <v> = 'B16001_084',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2" t="s">
        <v>10</v>
      </c>
      <c r="B581" s="1"/>
      <c r="C581" s="7" t="s">
        <v>1720</v>
      </c>
      <c r="D581" s="7" t="s">
        <v>1159</v>
      </c>
      <c r="E581" s="7" t="s">
        <v>1721</v>
      </c>
      <c r="F581" s="3" t="str">
        <f>IFERROR(__xludf.DUMMYFUNCTION("REGEXREPLACE(E581, ""[^A-Za-z0-9]"", """")"),"LanguageSpokenatHomebyAbilitytoSpeakEnglishforthePopulation5YearsandOver")</f>
        <v>LanguageSpokenatHomebyAbilitytoSpeakEnglishforthePopulation5YearsandOver</v>
      </c>
      <c r="G581" s="7"/>
      <c r="H581" s="7" t="s">
        <v>2056</v>
      </c>
      <c r="I581" s="1" t="s">
        <v>2057</v>
      </c>
      <c r="J581" s="7" t="s">
        <v>2058</v>
      </c>
      <c r="K581" s="1"/>
      <c r="L581" s="1" t="s">
        <v>2059</v>
      </c>
      <c r="M581" s="1"/>
      <c r="N581" s="1"/>
      <c r="O581" s="1" t="str">
        <f t="shared" si="1"/>
        <v> = 'B16001_085',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2" t="s">
        <v>10</v>
      </c>
      <c r="B582" s="1"/>
      <c r="C582" s="7" t="s">
        <v>1720</v>
      </c>
      <c r="D582" s="7" t="s">
        <v>1159</v>
      </c>
      <c r="E582" s="7" t="s">
        <v>1721</v>
      </c>
      <c r="F582" s="3" t="str">
        <f>IFERROR(__xludf.DUMMYFUNCTION("REGEXREPLACE(E582, ""[^A-Za-z0-9]"", """")"),"LanguageSpokenatHomebyAbilitytoSpeakEnglishforthePopulation5YearsandOver")</f>
        <v>LanguageSpokenatHomebyAbilitytoSpeakEnglishforthePopulation5YearsandOver</v>
      </c>
      <c r="G582" s="7"/>
      <c r="H582" s="7" t="s">
        <v>2060</v>
      </c>
      <c r="I582" s="1" t="s">
        <v>2061</v>
      </c>
      <c r="J582" s="7" t="s">
        <v>2062</v>
      </c>
      <c r="K582" s="1"/>
      <c r="L582" s="1" t="s">
        <v>2063</v>
      </c>
      <c r="M582" s="1"/>
      <c r="N582" s="1"/>
      <c r="O582" s="1" t="str">
        <f t="shared" si="1"/>
        <v> = 'B16001_086',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2" t="s">
        <v>10</v>
      </c>
      <c r="B583" s="1"/>
      <c r="C583" s="7" t="s">
        <v>1720</v>
      </c>
      <c r="D583" s="7" t="s">
        <v>1159</v>
      </c>
      <c r="E583" s="7" t="s">
        <v>1721</v>
      </c>
      <c r="F583" s="3" t="str">
        <f>IFERROR(__xludf.DUMMYFUNCTION("REGEXREPLACE(E583, ""[^A-Za-z0-9]"", """")"),"LanguageSpokenatHomebyAbilitytoSpeakEnglishforthePopulation5YearsandOver")</f>
        <v>LanguageSpokenatHomebyAbilitytoSpeakEnglishforthePopulation5YearsandOver</v>
      </c>
      <c r="G583" s="7"/>
      <c r="H583" s="7" t="s">
        <v>2064</v>
      </c>
      <c r="I583" s="1" t="s">
        <v>2065</v>
      </c>
      <c r="J583" s="7" t="s">
        <v>2066</v>
      </c>
      <c r="K583" s="1"/>
      <c r="L583" s="1" t="s">
        <v>2067</v>
      </c>
      <c r="M583" s="1"/>
      <c r="N583" s="1"/>
      <c r="O583" s="1" t="str">
        <f t="shared" si="1"/>
        <v> = 'B16001_087',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2" t="s">
        <v>10</v>
      </c>
      <c r="B584" s="1"/>
      <c r="C584" s="7" t="s">
        <v>1720</v>
      </c>
      <c r="D584" s="7" t="s">
        <v>1159</v>
      </c>
      <c r="E584" s="7" t="s">
        <v>1721</v>
      </c>
      <c r="F584" s="3" t="str">
        <f>IFERROR(__xludf.DUMMYFUNCTION("REGEXREPLACE(E584, ""[^A-Za-z0-9]"", """")"),"LanguageSpokenatHomebyAbilitytoSpeakEnglishforthePopulation5YearsandOver")</f>
        <v>LanguageSpokenatHomebyAbilitytoSpeakEnglishforthePopulation5YearsandOver</v>
      </c>
      <c r="G584" s="7"/>
      <c r="H584" s="7" t="s">
        <v>2068</v>
      </c>
      <c r="I584" s="1" t="s">
        <v>2069</v>
      </c>
      <c r="J584" s="7" t="s">
        <v>2070</v>
      </c>
      <c r="K584" s="1"/>
      <c r="L584" s="1" t="s">
        <v>2071</v>
      </c>
      <c r="M584" s="1"/>
      <c r="N584" s="1"/>
      <c r="O584" s="1" t="str">
        <f t="shared" si="1"/>
        <v> = 'B16001_088',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2" t="s">
        <v>10</v>
      </c>
      <c r="B585" s="1"/>
      <c r="C585" s="7" t="s">
        <v>1720</v>
      </c>
      <c r="D585" s="7" t="s">
        <v>1159</v>
      </c>
      <c r="E585" s="7" t="s">
        <v>1721</v>
      </c>
      <c r="F585" s="3" t="str">
        <f>IFERROR(__xludf.DUMMYFUNCTION("REGEXREPLACE(E585, ""[^A-Za-z0-9]"", """")"),"LanguageSpokenatHomebyAbilitytoSpeakEnglishforthePopulation5YearsandOver")</f>
        <v>LanguageSpokenatHomebyAbilitytoSpeakEnglishforthePopulation5YearsandOver</v>
      </c>
      <c r="G585" s="7"/>
      <c r="H585" s="7" t="s">
        <v>2072</v>
      </c>
      <c r="I585" s="1" t="s">
        <v>2073</v>
      </c>
      <c r="J585" s="7" t="s">
        <v>2074</v>
      </c>
      <c r="K585" s="1"/>
      <c r="L585" s="1" t="s">
        <v>2075</v>
      </c>
      <c r="M585" s="1"/>
      <c r="N585" s="1"/>
      <c r="O585" s="1" t="str">
        <f t="shared" si="1"/>
        <v> = 'B16001_089',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2" t="s">
        <v>10</v>
      </c>
      <c r="B586" s="1"/>
      <c r="C586" s="7" t="s">
        <v>1720</v>
      </c>
      <c r="D586" s="7" t="s">
        <v>1159</v>
      </c>
      <c r="E586" s="7" t="s">
        <v>1721</v>
      </c>
      <c r="F586" s="3" t="str">
        <f>IFERROR(__xludf.DUMMYFUNCTION("REGEXREPLACE(E586, ""[^A-Za-z0-9]"", """")"),"LanguageSpokenatHomebyAbilitytoSpeakEnglishforthePopulation5YearsandOver")</f>
        <v>LanguageSpokenatHomebyAbilitytoSpeakEnglishforthePopulation5YearsandOver</v>
      </c>
      <c r="G586" s="7"/>
      <c r="H586" s="7" t="s">
        <v>2076</v>
      </c>
      <c r="I586" s="1" t="s">
        <v>2077</v>
      </c>
      <c r="J586" s="7" t="s">
        <v>2078</v>
      </c>
      <c r="K586" s="1"/>
      <c r="L586" s="1" t="s">
        <v>2079</v>
      </c>
      <c r="M586" s="1"/>
      <c r="N586" s="1"/>
      <c r="O586" s="1" t="str">
        <f t="shared" si="1"/>
        <v> = 'B16001_090',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2" t="s">
        <v>10</v>
      </c>
      <c r="B587" s="1"/>
      <c r="C587" s="7" t="s">
        <v>1720</v>
      </c>
      <c r="D587" s="7" t="s">
        <v>1159</v>
      </c>
      <c r="E587" s="7" t="s">
        <v>1721</v>
      </c>
      <c r="F587" s="3" t="str">
        <f>IFERROR(__xludf.DUMMYFUNCTION("REGEXREPLACE(E587, ""[^A-Za-z0-9]"", """")"),"LanguageSpokenatHomebyAbilitytoSpeakEnglishforthePopulation5YearsandOver")</f>
        <v>LanguageSpokenatHomebyAbilitytoSpeakEnglishforthePopulation5YearsandOver</v>
      </c>
      <c r="G587" s="7"/>
      <c r="H587" s="7" t="s">
        <v>2080</v>
      </c>
      <c r="I587" s="1" t="s">
        <v>2081</v>
      </c>
      <c r="J587" s="7" t="s">
        <v>2082</v>
      </c>
      <c r="K587" s="1"/>
      <c r="L587" s="1" t="s">
        <v>2083</v>
      </c>
      <c r="M587" s="1"/>
      <c r="N587" s="1"/>
      <c r="O587" s="1" t="str">
        <f t="shared" si="1"/>
        <v> = 'B16001_091',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2" t="s">
        <v>10</v>
      </c>
      <c r="B588" s="1"/>
      <c r="C588" s="7" t="s">
        <v>1720</v>
      </c>
      <c r="D588" s="7" t="s">
        <v>1159</v>
      </c>
      <c r="E588" s="7" t="s">
        <v>1721</v>
      </c>
      <c r="F588" s="3" t="str">
        <f>IFERROR(__xludf.DUMMYFUNCTION("REGEXREPLACE(E588, ""[^A-Za-z0-9]"", """")"),"LanguageSpokenatHomebyAbilitytoSpeakEnglishforthePopulation5YearsandOver")</f>
        <v>LanguageSpokenatHomebyAbilitytoSpeakEnglishforthePopulation5YearsandOver</v>
      </c>
      <c r="G588" s="7"/>
      <c r="H588" s="7" t="s">
        <v>2084</v>
      </c>
      <c r="I588" s="1" t="s">
        <v>2085</v>
      </c>
      <c r="J588" s="7" t="s">
        <v>2086</v>
      </c>
      <c r="K588" s="1"/>
      <c r="L588" s="1" t="s">
        <v>2087</v>
      </c>
      <c r="M588" s="1"/>
      <c r="N588" s="1"/>
      <c r="O588" s="1" t="str">
        <f t="shared" si="1"/>
        <v> = 'B16001_092',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2" t="s">
        <v>10</v>
      </c>
      <c r="B589" s="1"/>
      <c r="C589" s="7" t="s">
        <v>1720</v>
      </c>
      <c r="D589" s="7" t="s">
        <v>1159</v>
      </c>
      <c r="E589" s="7" t="s">
        <v>1721</v>
      </c>
      <c r="F589" s="3" t="str">
        <f>IFERROR(__xludf.DUMMYFUNCTION("REGEXREPLACE(E589, ""[^A-Za-z0-9]"", """")"),"LanguageSpokenatHomebyAbilitytoSpeakEnglishforthePopulation5YearsandOver")</f>
        <v>LanguageSpokenatHomebyAbilitytoSpeakEnglishforthePopulation5YearsandOver</v>
      </c>
      <c r="G589" s="7"/>
      <c r="H589" s="7" t="s">
        <v>2088</v>
      </c>
      <c r="I589" s="1" t="s">
        <v>2089</v>
      </c>
      <c r="J589" s="7" t="s">
        <v>2090</v>
      </c>
      <c r="K589" s="1"/>
      <c r="L589" s="1" t="s">
        <v>2091</v>
      </c>
      <c r="M589" s="1"/>
      <c r="N589" s="1"/>
      <c r="O589" s="1" t="str">
        <f t="shared" si="1"/>
        <v> = 'B16001_093',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2" t="s">
        <v>10</v>
      </c>
      <c r="B590" s="1"/>
      <c r="C590" s="7" t="s">
        <v>1720</v>
      </c>
      <c r="D590" s="7" t="s">
        <v>1159</v>
      </c>
      <c r="E590" s="7" t="s">
        <v>1721</v>
      </c>
      <c r="F590" s="3" t="str">
        <f>IFERROR(__xludf.DUMMYFUNCTION("REGEXREPLACE(E590, ""[^A-Za-z0-9]"", """")"),"LanguageSpokenatHomebyAbilitytoSpeakEnglishforthePopulation5YearsandOver")</f>
        <v>LanguageSpokenatHomebyAbilitytoSpeakEnglishforthePopulation5YearsandOver</v>
      </c>
      <c r="G590" s="7"/>
      <c r="H590" s="7" t="s">
        <v>2092</v>
      </c>
      <c r="I590" s="1" t="s">
        <v>2093</v>
      </c>
      <c r="J590" s="7" t="s">
        <v>2094</v>
      </c>
      <c r="K590" s="1"/>
      <c r="L590" s="1" t="s">
        <v>2095</v>
      </c>
      <c r="M590" s="1"/>
      <c r="N590" s="1"/>
      <c r="O590" s="1" t="str">
        <f t="shared" si="1"/>
        <v> = 'B16001_094',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2" t="s">
        <v>10</v>
      </c>
      <c r="B591" s="1"/>
      <c r="C591" s="7" t="s">
        <v>1720</v>
      </c>
      <c r="D591" s="7" t="s">
        <v>1159</v>
      </c>
      <c r="E591" s="7" t="s">
        <v>1721</v>
      </c>
      <c r="F591" s="3" t="str">
        <f>IFERROR(__xludf.DUMMYFUNCTION("REGEXREPLACE(E591, ""[^A-Za-z0-9]"", """")"),"LanguageSpokenatHomebyAbilitytoSpeakEnglishforthePopulation5YearsandOver")</f>
        <v>LanguageSpokenatHomebyAbilitytoSpeakEnglishforthePopulation5YearsandOver</v>
      </c>
      <c r="G591" s="7"/>
      <c r="H591" s="7" t="s">
        <v>2096</v>
      </c>
      <c r="I591" s="1" t="s">
        <v>2097</v>
      </c>
      <c r="J591" s="7" t="s">
        <v>2098</v>
      </c>
      <c r="K591" s="1"/>
      <c r="L591" s="1" t="s">
        <v>2099</v>
      </c>
      <c r="M591" s="1"/>
      <c r="N591" s="1"/>
      <c r="O591" s="1" t="str">
        <f t="shared" si="1"/>
        <v> = 'B16001_095',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2" t="s">
        <v>10</v>
      </c>
      <c r="B592" s="1"/>
      <c r="C592" s="7" t="s">
        <v>1720</v>
      </c>
      <c r="D592" s="7" t="s">
        <v>1159</v>
      </c>
      <c r="E592" s="7" t="s">
        <v>1721</v>
      </c>
      <c r="F592" s="3" t="str">
        <f>IFERROR(__xludf.DUMMYFUNCTION("REGEXREPLACE(E592, ""[^A-Za-z0-9]"", """")"),"LanguageSpokenatHomebyAbilitytoSpeakEnglishforthePopulation5YearsandOver")</f>
        <v>LanguageSpokenatHomebyAbilitytoSpeakEnglishforthePopulation5YearsandOver</v>
      </c>
      <c r="G592" s="7"/>
      <c r="H592" s="7" t="s">
        <v>2100</v>
      </c>
      <c r="I592" s="1" t="s">
        <v>2101</v>
      </c>
      <c r="J592" s="7" t="s">
        <v>2102</v>
      </c>
      <c r="K592" s="1"/>
      <c r="L592" s="1" t="s">
        <v>2103</v>
      </c>
      <c r="M592" s="1"/>
      <c r="N592" s="1"/>
      <c r="O592" s="1" t="str">
        <f t="shared" si="1"/>
        <v> = 'B16001_096',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2" t="s">
        <v>10</v>
      </c>
      <c r="B593" s="1"/>
      <c r="C593" s="7" t="s">
        <v>1720</v>
      </c>
      <c r="D593" s="7" t="s">
        <v>1159</v>
      </c>
      <c r="E593" s="7" t="s">
        <v>1721</v>
      </c>
      <c r="F593" s="3" t="str">
        <f>IFERROR(__xludf.DUMMYFUNCTION("REGEXREPLACE(E593, ""[^A-Za-z0-9]"", """")"),"LanguageSpokenatHomebyAbilitytoSpeakEnglishforthePopulation5YearsandOver")</f>
        <v>LanguageSpokenatHomebyAbilitytoSpeakEnglishforthePopulation5YearsandOver</v>
      </c>
      <c r="G593" s="7"/>
      <c r="H593" s="7" t="s">
        <v>2104</v>
      </c>
      <c r="I593" s="1" t="s">
        <v>2105</v>
      </c>
      <c r="J593" s="7" t="s">
        <v>2106</v>
      </c>
      <c r="K593" s="1"/>
      <c r="L593" s="1" t="s">
        <v>2107</v>
      </c>
      <c r="M593" s="1"/>
      <c r="N593" s="1"/>
      <c r="O593" s="1" t="str">
        <f t="shared" si="1"/>
        <v> = 'B16001_097',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2" t="s">
        <v>10</v>
      </c>
      <c r="B594" s="1"/>
      <c r="C594" s="7" t="s">
        <v>1720</v>
      </c>
      <c r="D594" s="7" t="s">
        <v>1159</v>
      </c>
      <c r="E594" s="7" t="s">
        <v>1721</v>
      </c>
      <c r="F594" s="3" t="str">
        <f>IFERROR(__xludf.DUMMYFUNCTION("REGEXREPLACE(E594, ""[^A-Za-z0-9]"", """")"),"LanguageSpokenatHomebyAbilitytoSpeakEnglishforthePopulation5YearsandOver")</f>
        <v>LanguageSpokenatHomebyAbilitytoSpeakEnglishforthePopulation5YearsandOver</v>
      </c>
      <c r="G594" s="7"/>
      <c r="H594" s="7" t="s">
        <v>2108</v>
      </c>
      <c r="I594" s="1" t="s">
        <v>2109</v>
      </c>
      <c r="J594" s="7" t="s">
        <v>2110</v>
      </c>
      <c r="K594" s="1"/>
      <c r="L594" s="1" t="s">
        <v>2111</v>
      </c>
      <c r="M594" s="1"/>
      <c r="N594" s="1"/>
      <c r="O594" s="1" t="str">
        <f t="shared" si="1"/>
        <v> = 'B16001_098',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2" t="s">
        <v>10</v>
      </c>
      <c r="B595" s="1"/>
      <c r="C595" s="7" t="s">
        <v>1720</v>
      </c>
      <c r="D595" s="7" t="s">
        <v>1159</v>
      </c>
      <c r="E595" s="7" t="s">
        <v>1721</v>
      </c>
      <c r="F595" s="3" t="str">
        <f>IFERROR(__xludf.DUMMYFUNCTION("REGEXREPLACE(E595, ""[^A-Za-z0-9]"", """")"),"LanguageSpokenatHomebyAbilitytoSpeakEnglishforthePopulation5YearsandOver")</f>
        <v>LanguageSpokenatHomebyAbilitytoSpeakEnglishforthePopulation5YearsandOver</v>
      </c>
      <c r="G595" s="7"/>
      <c r="H595" s="7" t="s">
        <v>2112</v>
      </c>
      <c r="I595" s="1" t="s">
        <v>2113</v>
      </c>
      <c r="J595" s="7" t="s">
        <v>2114</v>
      </c>
      <c r="K595" s="1"/>
      <c r="L595" s="1" t="s">
        <v>2115</v>
      </c>
      <c r="M595" s="1"/>
      <c r="N595" s="1"/>
      <c r="O595" s="1" t="str">
        <f t="shared" si="1"/>
        <v> = 'B16001_099',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2" t="s">
        <v>10</v>
      </c>
      <c r="B596" s="1"/>
      <c r="C596" s="7" t="s">
        <v>1720</v>
      </c>
      <c r="D596" s="7" t="s">
        <v>1159</v>
      </c>
      <c r="E596" s="7" t="s">
        <v>1721</v>
      </c>
      <c r="F596" s="3" t="str">
        <f>IFERROR(__xludf.DUMMYFUNCTION("REGEXREPLACE(E596, ""[^A-Za-z0-9]"", """")"),"LanguageSpokenatHomebyAbilitytoSpeakEnglishforthePopulation5YearsandOver")</f>
        <v>LanguageSpokenatHomebyAbilitytoSpeakEnglishforthePopulation5YearsandOver</v>
      </c>
      <c r="G596" s="7"/>
      <c r="H596" s="7" t="s">
        <v>2116</v>
      </c>
      <c r="I596" s="1" t="s">
        <v>2117</v>
      </c>
      <c r="J596" s="7" t="s">
        <v>2118</v>
      </c>
      <c r="K596" s="1"/>
      <c r="L596" s="1" t="s">
        <v>2119</v>
      </c>
      <c r="M596" s="1"/>
      <c r="N596" s="1"/>
      <c r="O596" s="1" t="str">
        <f t="shared" si="1"/>
        <v> = 'B16001_100',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2" t="s">
        <v>10</v>
      </c>
      <c r="B597" s="1"/>
      <c r="C597" s="7" t="s">
        <v>1720</v>
      </c>
      <c r="D597" s="7" t="s">
        <v>1159</v>
      </c>
      <c r="E597" s="7" t="s">
        <v>1721</v>
      </c>
      <c r="F597" s="3" t="str">
        <f>IFERROR(__xludf.DUMMYFUNCTION("REGEXREPLACE(E597, ""[^A-Za-z0-9]"", """")"),"LanguageSpokenatHomebyAbilitytoSpeakEnglishforthePopulation5YearsandOver")</f>
        <v>LanguageSpokenatHomebyAbilitytoSpeakEnglishforthePopulation5YearsandOver</v>
      </c>
      <c r="G597" s="7"/>
      <c r="H597" s="7" t="s">
        <v>2120</v>
      </c>
      <c r="I597" s="1" t="s">
        <v>2121</v>
      </c>
      <c r="J597" s="7" t="s">
        <v>2122</v>
      </c>
      <c r="K597" s="1"/>
      <c r="L597" s="1" t="s">
        <v>2123</v>
      </c>
      <c r="M597" s="1"/>
      <c r="N597" s="1"/>
      <c r="O597" s="1" t="str">
        <f t="shared" si="1"/>
        <v> = 'B16001_101',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2" t="s">
        <v>10</v>
      </c>
      <c r="B598" s="1"/>
      <c r="C598" s="7" t="s">
        <v>1720</v>
      </c>
      <c r="D598" s="7" t="s">
        <v>1159</v>
      </c>
      <c r="E598" s="7" t="s">
        <v>1721</v>
      </c>
      <c r="F598" s="3" t="str">
        <f>IFERROR(__xludf.DUMMYFUNCTION("REGEXREPLACE(E598, ""[^A-Za-z0-9]"", """")"),"LanguageSpokenatHomebyAbilitytoSpeakEnglishforthePopulation5YearsandOver")</f>
        <v>LanguageSpokenatHomebyAbilitytoSpeakEnglishforthePopulation5YearsandOver</v>
      </c>
      <c r="G598" s="7"/>
      <c r="H598" s="7" t="s">
        <v>2124</v>
      </c>
      <c r="I598" s="1" t="s">
        <v>2125</v>
      </c>
      <c r="J598" s="7" t="s">
        <v>2126</v>
      </c>
      <c r="K598" s="1"/>
      <c r="L598" s="1" t="s">
        <v>2127</v>
      </c>
      <c r="M598" s="1"/>
      <c r="N598" s="1"/>
      <c r="O598" s="1" t="str">
        <f t="shared" si="1"/>
        <v> = 'B16001_102',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2" t="s">
        <v>10</v>
      </c>
      <c r="B599" s="1"/>
      <c r="C599" s="7" t="s">
        <v>1720</v>
      </c>
      <c r="D599" s="7" t="s">
        <v>1159</v>
      </c>
      <c r="E599" s="7" t="s">
        <v>1721</v>
      </c>
      <c r="F599" s="3" t="str">
        <f>IFERROR(__xludf.DUMMYFUNCTION("REGEXREPLACE(E599, ""[^A-Za-z0-9]"", """")"),"LanguageSpokenatHomebyAbilitytoSpeakEnglishforthePopulation5YearsandOver")</f>
        <v>LanguageSpokenatHomebyAbilitytoSpeakEnglishforthePopulation5YearsandOver</v>
      </c>
      <c r="G599" s="7"/>
      <c r="H599" s="7" t="s">
        <v>2128</v>
      </c>
      <c r="I599" s="1" t="s">
        <v>2129</v>
      </c>
      <c r="J599" s="7" t="s">
        <v>2130</v>
      </c>
      <c r="K599" s="1"/>
      <c r="L599" s="1" t="s">
        <v>2131</v>
      </c>
      <c r="M599" s="1"/>
      <c r="N599" s="1"/>
      <c r="O599" s="1" t="str">
        <f t="shared" si="1"/>
        <v> = 'B16001_103',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2" t="s">
        <v>10</v>
      </c>
      <c r="B600" s="1"/>
      <c r="C600" s="7" t="s">
        <v>1720</v>
      </c>
      <c r="D600" s="7" t="s">
        <v>1159</v>
      </c>
      <c r="E600" s="7" t="s">
        <v>1721</v>
      </c>
      <c r="F600" s="3" t="str">
        <f>IFERROR(__xludf.DUMMYFUNCTION("REGEXREPLACE(E600, ""[^A-Za-z0-9]"", """")"),"LanguageSpokenatHomebyAbilitytoSpeakEnglishforthePopulation5YearsandOver")</f>
        <v>LanguageSpokenatHomebyAbilitytoSpeakEnglishforthePopulation5YearsandOver</v>
      </c>
      <c r="G600" s="7"/>
      <c r="H600" s="7" t="s">
        <v>2132</v>
      </c>
      <c r="I600" s="1" t="s">
        <v>2133</v>
      </c>
      <c r="J600" s="7" t="s">
        <v>2134</v>
      </c>
      <c r="K600" s="1"/>
      <c r="L600" s="1" t="s">
        <v>2135</v>
      </c>
      <c r="M600" s="1"/>
      <c r="N600" s="1"/>
      <c r="O600" s="1" t="str">
        <f t="shared" si="1"/>
        <v> = 'B16001_104',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2" t="s">
        <v>10</v>
      </c>
      <c r="B601" s="1"/>
      <c r="C601" s="7" t="s">
        <v>1720</v>
      </c>
      <c r="D601" s="7" t="s">
        <v>1159</v>
      </c>
      <c r="E601" s="7" t="s">
        <v>1721</v>
      </c>
      <c r="F601" s="3" t="str">
        <f>IFERROR(__xludf.DUMMYFUNCTION("REGEXREPLACE(E601, ""[^A-Za-z0-9]"", """")"),"LanguageSpokenatHomebyAbilitytoSpeakEnglishforthePopulation5YearsandOver")</f>
        <v>LanguageSpokenatHomebyAbilitytoSpeakEnglishforthePopulation5YearsandOver</v>
      </c>
      <c r="G601" s="7"/>
      <c r="H601" s="7" t="s">
        <v>2136</v>
      </c>
      <c r="I601" s="1" t="s">
        <v>2137</v>
      </c>
      <c r="J601" s="7" t="s">
        <v>2138</v>
      </c>
      <c r="K601" s="1"/>
      <c r="L601" s="1" t="s">
        <v>2139</v>
      </c>
      <c r="M601" s="1"/>
      <c r="N601" s="1"/>
      <c r="O601" s="1" t="str">
        <f t="shared" si="1"/>
        <v> = 'B16001_105',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2" t="s">
        <v>10</v>
      </c>
      <c r="B602" s="1"/>
      <c r="C602" s="7" t="s">
        <v>1720</v>
      </c>
      <c r="D602" s="7" t="s">
        <v>1159</v>
      </c>
      <c r="E602" s="7" t="s">
        <v>1721</v>
      </c>
      <c r="F602" s="3" t="str">
        <f>IFERROR(__xludf.DUMMYFUNCTION("REGEXREPLACE(E602, ""[^A-Za-z0-9]"", """")"),"LanguageSpokenatHomebyAbilitytoSpeakEnglishforthePopulation5YearsandOver")</f>
        <v>LanguageSpokenatHomebyAbilitytoSpeakEnglishforthePopulation5YearsandOver</v>
      </c>
      <c r="G602" s="7"/>
      <c r="H602" s="7" t="s">
        <v>2140</v>
      </c>
      <c r="I602" s="1" t="s">
        <v>2141</v>
      </c>
      <c r="J602" s="7" t="s">
        <v>2142</v>
      </c>
      <c r="K602" s="1"/>
      <c r="L602" s="1" t="s">
        <v>2143</v>
      </c>
      <c r="M602" s="1"/>
      <c r="N602" s="1"/>
      <c r="O602" s="1" t="str">
        <f t="shared" si="1"/>
        <v> = 'B16001_106',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2" t="s">
        <v>10</v>
      </c>
      <c r="B603" s="1"/>
      <c r="C603" s="7" t="s">
        <v>1720</v>
      </c>
      <c r="D603" s="7" t="s">
        <v>1159</v>
      </c>
      <c r="E603" s="7" t="s">
        <v>1721</v>
      </c>
      <c r="F603" s="3" t="str">
        <f>IFERROR(__xludf.DUMMYFUNCTION("REGEXREPLACE(E603, ""[^A-Za-z0-9]"", """")"),"LanguageSpokenatHomebyAbilitytoSpeakEnglishforthePopulation5YearsandOver")</f>
        <v>LanguageSpokenatHomebyAbilitytoSpeakEnglishforthePopulation5YearsandOver</v>
      </c>
      <c r="G603" s="7"/>
      <c r="H603" s="7" t="s">
        <v>2144</v>
      </c>
      <c r="I603" s="1" t="s">
        <v>2145</v>
      </c>
      <c r="J603" s="7" t="s">
        <v>2146</v>
      </c>
      <c r="K603" s="1"/>
      <c r="L603" s="1" t="s">
        <v>2147</v>
      </c>
      <c r="M603" s="1"/>
      <c r="N603" s="1"/>
      <c r="O603" s="1" t="str">
        <f t="shared" si="1"/>
        <v> = 'B16001_107',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2" t="s">
        <v>10</v>
      </c>
      <c r="B604" s="1"/>
      <c r="C604" s="7" t="s">
        <v>1720</v>
      </c>
      <c r="D604" s="7" t="s">
        <v>1159</v>
      </c>
      <c r="E604" s="7" t="s">
        <v>1721</v>
      </c>
      <c r="F604" s="3" t="str">
        <f>IFERROR(__xludf.DUMMYFUNCTION("REGEXREPLACE(E604, ""[^A-Za-z0-9]"", """")"),"LanguageSpokenatHomebyAbilitytoSpeakEnglishforthePopulation5YearsandOver")</f>
        <v>LanguageSpokenatHomebyAbilitytoSpeakEnglishforthePopulation5YearsandOver</v>
      </c>
      <c r="G604" s="7"/>
      <c r="H604" s="7" t="s">
        <v>2148</v>
      </c>
      <c r="I604" s="1" t="s">
        <v>2149</v>
      </c>
      <c r="J604" s="7" t="s">
        <v>2150</v>
      </c>
      <c r="K604" s="1"/>
      <c r="L604" s="1" t="s">
        <v>2151</v>
      </c>
      <c r="M604" s="1"/>
      <c r="N604" s="1"/>
      <c r="O604" s="1" t="str">
        <f t="shared" si="1"/>
        <v> = 'B16001_108',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2" t="s">
        <v>10</v>
      </c>
      <c r="B605" s="1"/>
      <c r="C605" s="7" t="s">
        <v>1720</v>
      </c>
      <c r="D605" s="7" t="s">
        <v>1159</v>
      </c>
      <c r="E605" s="7" t="s">
        <v>1721</v>
      </c>
      <c r="F605" s="3" t="str">
        <f>IFERROR(__xludf.DUMMYFUNCTION("REGEXREPLACE(E605, ""[^A-Za-z0-9]"", """")"),"LanguageSpokenatHomebyAbilitytoSpeakEnglishforthePopulation5YearsandOver")</f>
        <v>LanguageSpokenatHomebyAbilitytoSpeakEnglishforthePopulation5YearsandOver</v>
      </c>
      <c r="G605" s="7"/>
      <c r="H605" s="7" t="s">
        <v>2152</v>
      </c>
      <c r="I605" s="1" t="s">
        <v>2153</v>
      </c>
      <c r="J605" s="7" t="s">
        <v>2154</v>
      </c>
      <c r="K605" s="1"/>
      <c r="L605" s="1" t="s">
        <v>2155</v>
      </c>
      <c r="M605" s="1"/>
      <c r="N605" s="1"/>
      <c r="O605" s="1" t="str">
        <f t="shared" si="1"/>
        <v> = 'B16001_109',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2" t="s">
        <v>10</v>
      </c>
      <c r="B606" s="1"/>
      <c r="C606" s="7" t="s">
        <v>1720</v>
      </c>
      <c r="D606" s="7" t="s">
        <v>1159</v>
      </c>
      <c r="E606" s="7" t="s">
        <v>1721</v>
      </c>
      <c r="F606" s="3" t="str">
        <f>IFERROR(__xludf.DUMMYFUNCTION("REGEXREPLACE(E606, ""[^A-Za-z0-9]"", """")"),"LanguageSpokenatHomebyAbilitytoSpeakEnglishforthePopulation5YearsandOver")</f>
        <v>LanguageSpokenatHomebyAbilitytoSpeakEnglishforthePopulation5YearsandOver</v>
      </c>
      <c r="G606" s="7"/>
      <c r="H606" s="7" t="s">
        <v>2156</v>
      </c>
      <c r="I606" s="1" t="s">
        <v>2157</v>
      </c>
      <c r="J606" s="7" t="s">
        <v>2158</v>
      </c>
      <c r="K606" s="1"/>
      <c r="L606" s="1" t="s">
        <v>2159</v>
      </c>
      <c r="M606" s="1"/>
      <c r="N606" s="1"/>
      <c r="O606" s="1" t="str">
        <f t="shared" si="1"/>
        <v> = 'B16001_110',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2" t="s">
        <v>10</v>
      </c>
      <c r="B607" s="1"/>
      <c r="C607" s="7" t="s">
        <v>1720</v>
      </c>
      <c r="D607" s="7" t="s">
        <v>1159</v>
      </c>
      <c r="E607" s="7" t="s">
        <v>1721</v>
      </c>
      <c r="F607" s="3" t="str">
        <f>IFERROR(__xludf.DUMMYFUNCTION("REGEXREPLACE(E607, ""[^A-Za-z0-9]"", """")"),"LanguageSpokenatHomebyAbilitytoSpeakEnglishforthePopulation5YearsandOver")</f>
        <v>LanguageSpokenatHomebyAbilitytoSpeakEnglishforthePopulation5YearsandOver</v>
      </c>
      <c r="G607" s="7"/>
      <c r="H607" s="7" t="s">
        <v>2160</v>
      </c>
      <c r="I607" s="1" t="s">
        <v>2161</v>
      </c>
      <c r="J607" s="7" t="s">
        <v>2162</v>
      </c>
      <c r="K607" s="1"/>
      <c r="L607" s="1" t="s">
        <v>2163</v>
      </c>
      <c r="M607" s="1"/>
      <c r="N607" s="1"/>
      <c r="O607" s="1" t="str">
        <f t="shared" si="1"/>
        <v> = 'B16001_111',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2" t="s">
        <v>10</v>
      </c>
      <c r="B608" s="1"/>
      <c r="C608" s="7" t="s">
        <v>1720</v>
      </c>
      <c r="D608" s="7" t="s">
        <v>1159</v>
      </c>
      <c r="E608" s="7" t="s">
        <v>1721</v>
      </c>
      <c r="F608" s="3" t="str">
        <f>IFERROR(__xludf.DUMMYFUNCTION("REGEXREPLACE(E608, ""[^A-Za-z0-9]"", """")"),"LanguageSpokenatHomebyAbilitytoSpeakEnglishforthePopulation5YearsandOver")</f>
        <v>LanguageSpokenatHomebyAbilitytoSpeakEnglishforthePopulation5YearsandOver</v>
      </c>
      <c r="G608" s="7"/>
      <c r="H608" s="7" t="s">
        <v>2164</v>
      </c>
      <c r="I608" s="1" t="s">
        <v>2165</v>
      </c>
      <c r="J608" s="7" t="s">
        <v>2166</v>
      </c>
      <c r="K608" s="1"/>
      <c r="L608" s="1" t="s">
        <v>2167</v>
      </c>
      <c r="M608" s="1"/>
      <c r="N608" s="1"/>
      <c r="O608" s="1" t="str">
        <f t="shared" si="1"/>
        <v> = 'B16001_112',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2" t="s">
        <v>10</v>
      </c>
      <c r="B609" s="1"/>
      <c r="C609" s="7" t="s">
        <v>1720</v>
      </c>
      <c r="D609" s="7" t="s">
        <v>1159</v>
      </c>
      <c r="E609" s="7" t="s">
        <v>1721</v>
      </c>
      <c r="F609" s="3" t="str">
        <f>IFERROR(__xludf.DUMMYFUNCTION("REGEXREPLACE(E609, ""[^A-Za-z0-9]"", """")"),"LanguageSpokenatHomebyAbilitytoSpeakEnglishforthePopulation5YearsandOver")</f>
        <v>LanguageSpokenatHomebyAbilitytoSpeakEnglishforthePopulation5YearsandOver</v>
      </c>
      <c r="G609" s="7"/>
      <c r="H609" s="7" t="s">
        <v>2168</v>
      </c>
      <c r="I609" s="1" t="s">
        <v>2169</v>
      </c>
      <c r="J609" s="7" t="s">
        <v>2170</v>
      </c>
      <c r="K609" s="1"/>
      <c r="L609" s="1" t="s">
        <v>2171</v>
      </c>
      <c r="M609" s="1"/>
      <c r="N609" s="1"/>
      <c r="O609" s="1" t="str">
        <f t="shared" si="1"/>
        <v> = 'B16001_113',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2" t="s">
        <v>10</v>
      </c>
      <c r="B610" s="1"/>
      <c r="C610" s="7" t="s">
        <v>1720</v>
      </c>
      <c r="D610" s="7" t="s">
        <v>1159</v>
      </c>
      <c r="E610" s="7" t="s">
        <v>1721</v>
      </c>
      <c r="F610" s="3" t="str">
        <f>IFERROR(__xludf.DUMMYFUNCTION("REGEXREPLACE(E610, ""[^A-Za-z0-9]"", """")"),"LanguageSpokenatHomebyAbilitytoSpeakEnglishforthePopulation5YearsandOver")</f>
        <v>LanguageSpokenatHomebyAbilitytoSpeakEnglishforthePopulation5YearsandOver</v>
      </c>
      <c r="G610" s="7"/>
      <c r="H610" s="7" t="s">
        <v>2172</v>
      </c>
      <c r="I610" s="1" t="s">
        <v>2173</v>
      </c>
      <c r="J610" s="7" t="s">
        <v>2174</v>
      </c>
      <c r="K610" s="1"/>
      <c r="L610" s="1" t="s">
        <v>2175</v>
      </c>
      <c r="M610" s="1"/>
      <c r="N610" s="1"/>
      <c r="O610" s="1" t="str">
        <f t="shared" si="1"/>
        <v> = 'B16001_114',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2" t="s">
        <v>10</v>
      </c>
      <c r="B611" s="1"/>
      <c r="C611" s="7" t="s">
        <v>1720</v>
      </c>
      <c r="D611" s="7" t="s">
        <v>1159</v>
      </c>
      <c r="E611" s="7" t="s">
        <v>1721</v>
      </c>
      <c r="F611" s="3" t="str">
        <f>IFERROR(__xludf.DUMMYFUNCTION("REGEXREPLACE(E611, ""[^A-Za-z0-9]"", """")"),"LanguageSpokenatHomebyAbilitytoSpeakEnglishforthePopulation5YearsandOver")</f>
        <v>LanguageSpokenatHomebyAbilitytoSpeakEnglishforthePopulation5YearsandOver</v>
      </c>
      <c r="G611" s="7"/>
      <c r="H611" s="7" t="s">
        <v>2176</v>
      </c>
      <c r="I611" s="1" t="s">
        <v>2177</v>
      </c>
      <c r="J611" s="7" t="s">
        <v>2178</v>
      </c>
      <c r="K611" s="1"/>
      <c r="L611" s="1" t="s">
        <v>2179</v>
      </c>
      <c r="M611" s="1"/>
      <c r="N611" s="1"/>
      <c r="O611" s="1" t="str">
        <f t="shared" si="1"/>
        <v> = 'B16001_115',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2" t="s">
        <v>10</v>
      </c>
      <c r="B612" s="1"/>
      <c r="C612" s="7" t="s">
        <v>1720</v>
      </c>
      <c r="D612" s="7" t="s">
        <v>1159</v>
      </c>
      <c r="E612" s="7" t="s">
        <v>1721</v>
      </c>
      <c r="F612" s="3" t="str">
        <f>IFERROR(__xludf.DUMMYFUNCTION("REGEXREPLACE(E612, ""[^A-Za-z0-9]"", """")"),"LanguageSpokenatHomebyAbilitytoSpeakEnglishforthePopulation5YearsandOver")</f>
        <v>LanguageSpokenatHomebyAbilitytoSpeakEnglishforthePopulation5YearsandOver</v>
      </c>
      <c r="G612" s="7"/>
      <c r="H612" s="7" t="s">
        <v>2180</v>
      </c>
      <c r="I612" s="1" t="s">
        <v>2181</v>
      </c>
      <c r="J612" s="7" t="s">
        <v>2182</v>
      </c>
      <c r="K612" s="1"/>
      <c r="L612" s="1" t="s">
        <v>2183</v>
      </c>
      <c r="M612" s="1"/>
      <c r="N612" s="1"/>
      <c r="O612" s="1" t="str">
        <f t="shared" si="1"/>
        <v> = 'B16001_116',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2" t="s">
        <v>10</v>
      </c>
      <c r="B613" s="1"/>
      <c r="C613" s="7" t="s">
        <v>1720</v>
      </c>
      <c r="D613" s="7" t="s">
        <v>1159</v>
      </c>
      <c r="E613" s="7" t="s">
        <v>1721</v>
      </c>
      <c r="F613" s="3" t="str">
        <f>IFERROR(__xludf.DUMMYFUNCTION("REGEXREPLACE(E613, ""[^A-Za-z0-9]"", """")"),"LanguageSpokenatHomebyAbilitytoSpeakEnglishforthePopulation5YearsandOver")</f>
        <v>LanguageSpokenatHomebyAbilitytoSpeakEnglishforthePopulation5YearsandOver</v>
      </c>
      <c r="G613" s="7"/>
      <c r="H613" s="7" t="s">
        <v>2184</v>
      </c>
      <c r="I613" s="1" t="s">
        <v>2185</v>
      </c>
      <c r="J613" s="7" t="s">
        <v>2186</v>
      </c>
      <c r="K613" s="1"/>
      <c r="L613" s="1" t="s">
        <v>2187</v>
      </c>
      <c r="M613" s="1"/>
      <c r="N613" s="1"/>
      <c r="O613" s="1" t="str">
        <f t="shared" si="1"/>
        <v> = 'B16001_117',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2" t="s">
        <v>10</v>
      </c>
      <c r="B614" s="1"/>
      <c r="C614" s="7" t="s">
        <v>1720</v>
      </c>
      <c r="D614" s="7" t="s">
        <v>1159</v>
      </c>
      <c r="E614" s="7" t="s">
        <v>1721</v>
      </c>
      <c r="F614" s="3" t="str">
        <f>IFERROR(__xludf.DUMMYFUNCTION("REGEXREPLACE(E614, ""[^A-Za-z0-9]"", """")"),"LanguageSpokenatHomebyAbilitytoSpeakEnglishforthePopulation5YearsandOver")</f>
        <v>LanguageSpokenatHomebyAbilitytoSpeakEnglishforthePopulation5YearsandOver</v>
      </c>
      <c r="G614" s="7"/>
      <c r="H614" s="7" t="s">
        <v>2188</v>
      </c>
      <c r="I614" s="1" t="s">
        <v>2189</v>
      </c>
      <c r="J614" s="7" t="s">
        <v>2190</v>
      </c>
      <c r="K614" s="1"/>
      <c r="L614" s="1" t="s">
        <v>2191</v>
      </c>
      <c r="M614" s="1"/>
      <c r="N614" s="1"/>
      <c r="O614" s="1" t="str">
        <f t="shared" si="1"/>
        <v> = 'B16001_118',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2" t="s">
        <v>10</v>
      </c>
      <c r="B615" s="1"/>
      <c r="C615" s="7" t="s">
        <v>1720</v>
      </c>
      <c r="D615" s="7" t="s">
        <v>1159</v>
      </c>
      <c r="E615" s="7" t="s">
        <v>1721</v>
      </c>
      <c r="F615" s="3" t="str">
        <f>IFERROR(__xludf.DUMMYFUNCTION("REGEXREPLACE(E615, ""[^A-Za-z0-9]"", """")"),"LanguageSpokenatHomebyAbilitytoSpeakEnglishforthePopulation5YearsandOver")</f>
        <v>LanguageSpokenatHomebyAbilitytoSpeakEnglishforthePopulation5YearsandOver</v>
      </c>
      <c r="G615" s="7"/>
      <c r="H615" s="7" t="s">
        <v>2192</v>
      </c>
      <c r="I615" s="1" t="s">
        <v>2193</v>
      </c>
      <c r="J615" s="7" t="s">
        <v>2194</v>
      </c>
      <c r="K615" s="1"/>
      <c r="L615" s="1" t="s">
        <v>2195</v>
      </c>
      <c r="M615" s="1"/>
      <c r="N615" s="1"/>
      <c r="O615" s="1" t="str">
        <f t="shared" si="1"/>
        <v> = 'B16001_119',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2" t="s">
        <v>10</v>
      </c>
      <c r="B616" s="1"/>
      <c r="C616" s="7" t="s">
        <v>1720</v>
      </c>
      <c r="D616" s="7" t="s">
        <v>1159</v>
      </c>
      <c r="E616" s="7" t="s">
        <v>1721</v>
      </c>
      <c r="F616" s="3" t="str">
        <f>IFERROR(__xludf.DUMMYFUNCTION("REGEXREPLACE(E616, ""[^A-Za-z0-9]"", """")"),"LanguageSpokenatHomebyAbilitytoSpeakEnglishforthePopulation5YearsandOver")</f>
        <v>LanguageSpokenatHomebyAbilitytoSpeakEnglishforthePopulation5YearsandOver</v>
      </c>
      <c r="G616" s="7"/>
      <c r="H616" s="7" t="s">
        <v>2196</v>
      </c>
      <c r="I616" s="1" t="s">
        <v>2197</v>
      </c>
      <c r="J616" s="7" t="s">
        <v>2198</v>
      </c>
      <c r="K616" s="1"/>
      <c r="L616" s="1" t="s">
        <v>2199</v>
      </c>
      <c r="M616" s="1"/>
      <c r="N616" s="1"/>
      <c r="O616" s="1" t="str">
        <f t="shared" si="1"/>
        <v> = 'B16001_120',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2" t="s">
        <v>10</v>
      </c>
      <c r="B617" s="1"/>
      <c r="C617" s="7" t="s">
        <v>1720</v>
      </c>
      <c r="D617" s="7" t="s">
        <v>1159</v>
      </c>
      <c r="E617" s="7" t="s">
        <v>1721</v>
      </c>
      <c r="F617" s="3" t="str">
        <f>IFERROR(__xludf.DUMMYFUNCTION("REGEXREPLACE(E617, ""[^A-Za-z0-9]"", """")"),"LanguageSpokenatHomebyAbilitytoSpeakEnglishforthePopulation5YearsandOver")</f>
        <v>LanguageSpokenatHomebyAbilitytoSpeakEnglishforthePopulation5YearsandOver</v>
      </c>
      <c r="G617" s="7"/>
      <c r="H617" s="7" t="s">
        <v>2200</v>
      </c>
      <c r="I617" s="1" t="s">
        <v>2201</v>
      </c>
      <c r="J617" s="7" t="s">
        <v>2202</v>
      </c>
      <c r="K617" s="1"/>
      <c r="L617" s="1" t="s">
        <v>2203</v>
      </c>
      <c r="M617" s="1"/>
      <c r="N617" s="1"/>
      <c r="O617" s="1" t="str">
        <f t="shared" si="1"/>
        <v> = 'B16001_121',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2" t="s">
        <v>10</v>
      </c>
      <c r="B618" s="1"/>
      <c r="C618" s="7" t="s">
        <v>1720</v>
      </c>
      <c r="D618" s="7" t="s">
        <v>1159</v>
      </c>
      <c r="E618" s="7" t="s">
        <v>1721</v>
      </c>
      <c r="F618" s="3" t="str">
        <f>IFERROR(__xludf.DUMMYFUNCTION("REGEXREPLACE(E618, ""[^A-Za-z0-9]"", """")"),"LanguageSpokenatHomebyAbilitytoSpeakEnglishforthePopulation5YearsandOver")</f>
        <v>LanguageSpokenatHomebyAbilitytoSpeakEnglishforthePopulation5YearsandOver</v>
      </c>
      <c r="G618" s="7"/>
      <c r="H618" s="7" t="s">
        <v>2204</v>
      </c>
      <c r="I618" s="1" t="s">
        <v>2205</v>
      </c>
      <c r="J618" s="7" t="s">
        <v>2206</v>
      </c>
      <c r="K618" s="1"/>
      <c r="L618" s="1" t="s">
        <v>2207</v>
      </c>
      <c r="M618" s="1"/>
      <c r="N618" s="1"/>
      <c r="O618" s="1" t="str">
        <f t="shared" si="1"/>
        <v> = 'B16001_122',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2" t="s">
        <v>10</v>
      </c>
      <c r="B619" s="1"/>
      <c r="C619" s="7" t="s">
        <v>1720</v>
      </c>
      <c r="D619" s="7" t="s">
        <v>1159</v>
      </c>
      <c r="E619" s="7" t="s">
        <v>1721</v>
      </c>
      <c r="F619" s="3" t="str">
        <f>IFERROR(__xludf.DUMMYFUNCTION("REGEXREPLACE(E619, ""[^A-Za-z0-9]"", """")"),"LanguageSpokenatHomebyAbilitytoSpeakEnglishforthePopulation5YearsandOver")</f>
        <v>LanguageSpokenatHomebyAbilitytoSpeakEnglishforthePopulation5YearsandOver</v>
      </c>
      <c r="G619" s="7"/>
      <c r="H619" s="7" t="s">
        <v>2208</v>
      </c>
      <c r="I619" s="1" t="s">
        <v>2209</v>
      </c>
      <c r="J619" s="7" t="s">
        <v>2210</v>
      </c>
      <c r="K619" s="1"/>
      <c r="L619" s="1" t="s">
        <v>2211</v>
      </c>
      <c r="M619" s="1"/>
      <c r="N619" s="1"/>
      <c r="O619" s="1" t="str">
        <f t="shared" si="1"/>
        <v> = 'B16001_123',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2" t="s">
        <v>10</v>
      </c>
      <c r="B620" s="1"/>
      <c r="C620" s="7" t="s">
        <v>1720</v>
      </c>
      <c r="D620" s="7" t="s">
        <v>1159</v>
      </c>
      <c r="E620" s="7" t="s">
        <v>1721</v>
      </c>
      <c r="F620" s="3" t="str">
        <f>IFERROR(__xludf.DUMMYFUNCTION("REGEXREPLACE(E620, ""[^A-Za-z0-9]"", """")"),"LanguageSpokenatHomebyAbilitytoSpeakEnglishforthePopulation5YearsandOver")</f>
        <v>LanguageSpokenatHomebyAbilitytoSpeakEnglishforthePopulation5YearsandOver</v>
      </c>
      <c r="G620" s="7"/>
      <c r="H620" s="7" t="s">
        <v>2212</v>
      </c>
      <c r="I620" s="1" t="s">
        <v>2213</v>
      </c>
      <c r="J620" s="7" t="s">
        <v>2214</v>
      </c>
      <c r="K620" s="1"/>
      <c r="L620" s="1" t="s">
        <v>2215</v>
      </c>
      <c r="M620" s="1"/>
      <c r="N620" s="1"/>
      <c r="O620" s="1" t="str">
        <f t="shared" si="1"/>
        <v> = 'B16001_124',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2" t="s">
        <v>10</v>
      </c>
      <c r="B621" s="1"/>
      <c r="C621" s="7" t="s">
        <v>1720</v>
      </c>
      <c r="D621" s="7" t="s">
        <v>1159</v>
      </c>
      <c r="E621" s="7" t="s">
        <v>1721</v>
      </c>
      <c r="F621" s="3" t="str">
        <f>IFERROR(__xludf.DUMMYFUNCTION("REGEXREPLACE(E621, ""[^A-Za-z0-9]"", """")"),"LanguageSpokenatHomebyAbilitytoSpeakEnglishforthePopulation5YearsandOver")</f>
        <v>LanguageSpokenatHomebyAbilitytoSpeakEnglishforthePopulation5YearsandOver</v>
      </c>
      <c r="G621" s="7"/>
      <c r="H621" s="7" t="s">
        <v>2216</v>
      </c>
      <c r="I621" s="1" t="s">
        <v>2217</v>
      </c>
      <c r="J621" s="7" t="s">
        <v>2218</v>
      </c>
      <c r="K621" s="1"/>
      <c r="L621" s="1" t="s">
        <v>2219</v>
      </c>
      <c r="M621" s="1"/>
      <c r="N621" s="1"/>
      <c r="O621" s="1" t="str">
        <f t="shared" si="1"/>
        <v> = 'B16001_125',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2" t="s">
        <v>10</v>
      </c>
      <c r="B622" s="1"/>
      <c r="C622" s="7" t="s">
        <v>1720</v>
      </c>
      <c r="D622" s="7" t="s">
        <v>1159</v>
      </c>
      <c r="E622" s="7" t="s">
        <v>1721</v>
      </c>
      <c r="F622" s="3" t="str">
        <f>IFERROR(__xludf.DUMMYFUNCTION("REGEXREPLACE(E622, ""[^A-Za-z0-9]"", """")"),"LanguageSpokenatHomebyAbilitytoSpeakEnglishforthePopulation5YearsandOver")</f>
        <v>LanguageSpokenatHomebyAbilitytoSpeakEnglishforthePopulation5YearsandOver</v>
      </c>
      <c r="G622" s="7"/>
      <c r="H622" s="7" t="s">
        <v>2220</v>
      </c>
      <c r="I622" s="1" t="s">
        <v>2221</v>
      </c>
      <c r="J622" s="7" t="s">
        <v>2222</v>
      </c>
      <c r="K622" s="1"/>
      <c r="L622" s="1" t="s">
        <v>2223</v>
      </c>
      <c r="M622" s="1"/>
      <c r="N622" s="1"/>
      <c r="O622" s="1" t="str">
        <f t="shared" si="1"/>
        <v> = 'B16001_126',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2" t="s">
        <v>10</v>
      </c>
      <c r="B623" s="1"/>
      <c r="C623" s="7" t="s">
        <v>1720</v>
      </c>
      <c r="D623" s="7" t="s">
        <v>1159</v>
      </c>
      <c r="E623" s="7" t="s">
        <v>1721</v>
      </c>
      <c r="F623" s="3" t="str">
        <f>IFERROR(__xludf.DUMMYFUNCTION("REGEXREPLACE(E623, ""[^A-Za-z0-9]"", """")"),"LanguageSpokenatHomebyAbilitytoSpeakEnglishforthePopulation5YearsandOver")</f>
        <v>LanguageSpokenatHomebyAbilitytoSpeakEnglishforthePopulation5YearsandOver</v>
      </c>
      <c r="G623" s="7"/>
      <c r="H623" s="7" t="s">
        <v>2224</v>
      </c>
      <c r="I623" s="1" t="s">
        <v>2225</v>
      </c>
      <c r="J623" s="7" t="s">
        <v>2226</v>
      </c>
      <c r="K623" s="1"/>
      <c r="L623" s="1" t="s">
        <v>2227</v>
      </c>
      <c r="M623" s="1"/>
      <c r="N623" s="1"/>
      <c r="O623" s="1" t="str">
        <f t="shared" si="1"/>
        <v> = 'B16001_127',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2" t="s">
        <v>10</v>
      </c>
      <c r="B624" s="1"/>
      <c r="C624" s="7" t="s">
        <v>1720</v>
      </c>
      <c r="D624" s="7" t="s">
        <v>1159</v>
      </c>
      <c r="E624" s="7" t="s">
        <v>1721</v>
      </c>
      <c r="F624" s="3" t="str">
        <f>IFERROR(__xludf.DUMMYFUNCTION("REGEXREPLACE(E624, ""[^A-Za-z0-9]"", """")"),"LanguageSpokenatHomebyAbilitytoSpeakEnglishforthePopulation5YearsandOver")</f>
        <v>LanguageSpokenatHomebyAbilitytoSpeakEnglishforthePopulation5YearsandOver</v>
      </c>
      <c r="G624" s="7"/>
      <c r="H624" s="7" t="s">
        <v>2228</v>
      </c>
      <c r="I624" s="1" t="s">
        <v>2229</v>
      </c>
      <c r="J624" s="7" t="s">
        <v>2230</v>
      </c>
      <c r="K624" s="1"/>
      <c r="L624" s="1" t="s">
        <v>2231</v>
      </c>
      <c r="M624" s="1"/>
      <c r="N624" s="1"/>
      <c r="O624" s="1" t="str">
        <f t="shared" si="1"/>
        <v> = 'B16001_128',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2" t="s">
        <v>10</v>
      </c>
      <c r="B625" s="1"/>
      <c r="C625" s="7" t="s">
        <v>1158</v>
      </c>
      <c r="D625" s="7" t="s">
        <v>1159</v>
      </c>
      <c r="E625" s="7" t="s">
        <v>2232</v>
      </c>
      <c r="F625" s="3" t="str">
        <f>IFERROR(__xludf.DUMMYFUNCTION("REGEXREPLACE(E625, ""[^A-Za-z0-9]"", """")"),"DetailedHouseholdLanguagebyHouseholdLimitedEnglishSpeakingStatus")</f>
        <v>DetailedHouseholdLanguagebyHouseholdLimitedEnglishSpeakingStatus</v>
      </c>
      <c r="G625" s="7"/>
      <c r="H625" s="7" t="s">
        <v>16</v>
      </c>
      <c r="I625" s="1" t="s">
        <v>2233</v>
      </c>
      <c r="J625" s="7" t="s">
        <v>2234</v>
      </c>
      <c r="K625" s="1"/>
      <c r="L625" s="1" t="s">
        <v>20</v>
      </c>
      <c r="M625" s="1"/>
      <c r="N625" s="1"/>
      <c r="O625" s="1" t="str">
        <f t="shared" si="1"/>
        <v> = 'B16002_001',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2" t="s">
        <v>10</v>
      </c>
      <c r="B626" s="1"/>
      <c r="C626" s="7" t="s">
        <v>1158</v>
      </c>
      <c r="D626" s="7" t="s">
        <v>1159</v>
      </c>
      <c r="E626" s="7" t="s">
        <v>2232</v>
      </c>
      <c r="F626" s="3" t="str">
        <f>IFERROR(__xludf.DUMMYFUNCTION("REGEXREPLACE(E626, ""[^A-Za-z0-9]"", """")"),"DetailedHouseholdLanguagebyHouseholdLimitedEnglishSpeakingStatus")</f>
        <v>DetailedHouseholdLanguagebyHouseholdLimitedEnglishSpeakingStatus</v>
      </c>
      <c r="G626" s="7"/>
      <c r="H626" s="7" t="s">
        <v>2235</v>
      </c>
      <c r="I626" s="1" t="s">
        <v>2236</v>
      </c>
      <c r="J626" s="7" t="s">
        <v>2237</v>
      </c>
      <c r="K626" s="1"/>
      <c r="L626" s="1" t="s">
        <v>2238</v>
      </c>
      <c r="M626" s="1"/>
      <c r="N626" s="1"/>
      <c r="O626" s="1" t="str">
        <f t="shared" si="1"/>
        <v> = 'B16002_002',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2" t="s">
        <v>10</v>
      </c>
      <c r="B627" s="1"/>
      <c r="C627" s="7" t="s">
        <v>1158</v>
      </c>
      <c r="D627" s="7" t="s">
        <v>1159</v>
      </c>
      <c r="E627" s="7" t="s">
        <v>2232</v>
      </c>
      <c r="F627" s="3" t="str">
        <f>IFERROR(__xludf.DUMMYFUNCTION("REGEXREPLACE(E627, ""[^A-Za-z0-9]"", """")"),"DetailedHouseholdLanguagebyHouseholdLimitedEnglishSpeakingStatus")</f>
        <v>DetailedHouseholdLanguagebyHouseholdLimitedEnglishSpeakingStatus</v>
      </c>
      <c r="G627" s="7"/>
      <c r="H627" s="7" t="s">
        <v>1728</v>
      </c>
      <c r="I627" s="1" t="s">
        <v>2239</v>
      </c>
      <c r="J627" s="7" t="s">
        <v>2240</v>
      </c>
      <c r="K627" s="1"/>
      <c r="L627" s="1" t="s">
        <v>1731</v>
      </c>
      <c r="M627" s="1"/>
      <c r="N627" s="1"/>
      <c r="O627" s="1" t="str">
        <f t="shared" si="1"/>
        <v> = 'B16002_003',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2" t="s">
        <v>10</v>
      </c>
      <c r="B628" s="1"/>
      <c r="C628" s="7" t="s">
        <v>1158</v>
      </c>
      <c r="D628" s="7" t="s">
        <v>1159</v>
      </c>
      <c r="E628" s="7" t="s">
        <v>2232</v>
      </c>
      <c r="F628" s="3" t="str">
        <f>IFERROR(__xludf.DUMMYFUNCTION("REGEXREPLACE(E628, ""[^A-Za-z0-9]"", """")"),"DetailedHouseholdLanguagebyHouseholdLimitedEnglishSpeakingStatus")</f>
        <v>DetailedHouseholdLanguagebyHouseholdLimitedEnglishSpeakingStatus</v>
      </c>
      <c r="G628" s="7"/>
      <c r="H628" s="7" t="s">
        <v>2241</v>
      </c>
      <c r="I628" s="1" t="s">
        <v>2242</v>
      </c>
      <c r="J628" s="7" t="s">
        <v>2243</v>
      </c>
      <c r="K628" s="1"/>
      <c r="L628" s="1" t="s">
        <v>2244</v>
      </c>
      <c r="M628" s="1"/>
      <c r="N628" s="1"/>
      <c r="O628" s="1" t="str">
        <f t="shared" si="1"/>
        <v> = 'B16002_004',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2" t="s">
        <v>10</v>
      </c>
      <c r="B629" s="1"/>
      <c r="C629" s="7" t="s">
        <v>1158</v>
      </c>
      <c r="D629" s="7" t="s">
        <v>1159</v>
      </c>
      <c r="E629" s="7" t="s">
        <v>2232</v>
      </c>
      <c r="F629" s="3" t="str">
        <f>IFERROR(__xludf.DUMMYFUNCTION("REGEXREPLACE(E629, ""[^A-Za-z0-9]"", """")"),"DetailedHouseholdLanguagebyHouseholdLimitedEnglishSpeakingStatus")</f>
        <v>DetailedHouseholdLanguagebyHouseholdLimitedEnglishSpeakingStatus</v>
      </c>
      <c r="G629" s="7"/>
      <c r="H629" s="7" t="s">
        <v>2245</v>
      </c>
      <c r="I629" s="1" t="s">
        <v>2246</v>
      </c>
      <c r="J629" s="7" t="s">
        <v>2247</v>
      </c>
      <c r="K629" s="1"/>
      <c r="L629" s="1" t="s">
        <v>2248</v>
      </c>
      <c r="M629" s="1"/>
      <c r="N629" s="1"/>
      <c r="O629" s="1" t="str">
        <f t="shared" si="1"/>
        <v> = 'B16002_005',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2" t="s">
        <v>10</v>
      </c>
      <c r="B630" s="1"/>
      <c r="C630" s="7" t="s">
        <v>1158</v>
      </c>
      <c r="D630" s="7" t="s">
        <v>1159</v>
      </c>
      <c r="E630" s="7" t="s">
        <v>2232</v>
      </c>
      <c r="F630" s="3" t="str">
        <f>IFERROR(__xludf.DUMMYFUNCTION("REGEXREPLACE(E630, ""[^A-Za-z0-9]"", """")"),"DetailedHouseholdLanguagebyHouseholdLimitedEnglishSpeakingStatus")</f>
        <v>DetailedHouseholdLanguagebyHouseholdLimitedEnglishSpeakingStatus</v>
      </c>
      <c r="G630" s="7"/>
      <c r="H630" s="7" t="s">
        <v>2249</v>
      </c>
      <c r="I630" s="1" t="s">
        <v>2250</v>
      </c>
      <c r="J630" s="7" t="s">
        <v>2251</v>
      </c>
      <c r="K630" s="1"/>
      <c r="L630" s="1" t="s">
        <v>2252</v>
      </c>
      <c r="M630" s="1"/>
      <c r="N630" s="1"/>
      <c r="O630" s="1" t="str">
        <f t="shared" si="1"/>
        <v> = 'B16002_006',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2" t="s">
        <v>10</v>
      </c>
      <c r="B631" s="1"/>
      <c r="C631" s="7" t="s">
        <v>1158</v>
      </c>
      <c r="D631" s="7" t="s">
        <v>1159</v>
      </c>
      <c r="E631" s="7" t="s">
        <v>2232</v>
      </c>
      <c r="F631" s="3" t="str">
        <f>IFERROR(__xludf.DUMMYFUNCTION("REGEXREPLACE(E631, ""[^A-Za-z0-9]"", """")"),"DetailedHouseholdLanguagebyHouseholdLimitedEnglishSpeakingStatus")</f>
        <v>DetailedHouseholdLanguagebyHouseholdLimitedEnglishSpeakingStatus</v>
      </c>
      <c r="G631" s="7"/>
      <c r="H631" s="7" t="s">
        <v>2253</v>
      </c>
      <c r="I631" s="1" t="s">
        <v>2254</v>
      </c>
      <c r="J631" s="7" t="s">
        <v>2255</v>
      </c>
      <c r="K631" s="1"/>
      <c r="L631" s="1" t="s">
        <v>2256</v>
      </c>
      <c r="M631" s="1"/>
      <c r="N631" s="1"/>
      <c r="O631" s="1" t="str">
        <f t="shared" si="1"/>
        <v> = 'B16002_007',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2" t="s">
        <v>10</v>
      </c>
      <c r="B632" s="1"/>
      <c r="C632" s="7" t="s">
        <v>1158</v>
      </c>
      <c r="D632" s="7" t="s">
        <v>1159</v>
      </c>
      <c r="E632" s="7" t="s">
        <v>2232</v>
      </c>
      <c r="F632" s="3" t="str">
        <f>IFERROR(__xludf.DUMMYFUNCTION("REGEXREPLACE(E632, ""[^A-Za-z0-9]"", """")"),"DetailedHouseholdLanguagebyHouseholdLimitedEnglishSpeakingStatus")</f>
        <v>DetailedHouseholdLanguagebyHouseholdLimitedEnglishSpeakingStatus</v>
      </c>
      <c r="G632" s="7"/>
      <c r="H632" s="7" t="s">
        <v>2257</v>
      </c>
      <c r="I632" s="1" t="s">
        <v>2258</v>
      </c>
      <c r="J632" s="7" t="s">
        <v>2259</v>
      </c>
      <c r="K632" s="1"/>
      <c r="L632" s="1" t="s">
        <v>2260</v>
      </c>
      <c r="M632" s="1"/>
      <c r="N632" s="1"/>
      <c r="O632" s="1" t="str">
        <f t="shared" si="1"/>
        <v> = 'B16002_008',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2" t="s">
        <v>10</v>
      </c>
      <c r="B633" s="1"/>
      <c r="C633" s="7" t="s">
        <v>1158</v>
      </c>
      <c r="D633" s="7" t="s">
        <v>1159</v>
      </c>
      <c r="E633" s="7" t="s">
        <v>2232</v>
      </c>
      <c r="F633" s="3" t="str">
        <f>IFERROR(__xludf.DUMMYFUNCTION("REGEXREPLACE(E633, ""[^A-Za-z0-9]"", """")"),"DetailedHouseholdLanguagebyHouseholdLimitedEnglishSpeakingStatus")</f>
        <v>DetailedHouseholdLanguagebyHouseholdLimitedEnglishSpeakingStatus</v>
      </c>
      <c r="G633" s="7"/>
      <c r="H633" s="7" t="s">
        <v>2261</v>
      </c>
      <c r="I633" s="1" t="s">
        <v>2262</v>
      </c>
      <c r="J633" s="7" t="s">
        <v>2263</v>
      </c>
      <c r="K633" s="1"/>
      <c r="L633" s="1" t="s">
        <v>2264</v>
      </c>
      <c r="M633" s="1"/>
      <c r="N633" s="1"/>
      <c r="O633" s="1" t="str">
        <f t="shared" si="1"/>
        <v> = 'B16002_009',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2" t="s">
        <v>10</v>
      </c>
      <c r="B634" s="1"/>
      <c r="C634" s="7" t="s">
        <v>1158</v>
      </c>
      <c r="D634" s="7" t="s">
        <v>1159</v>
      </c>
      <c r="E634" s="7" t="s">
        <v>2232</v>
      </c>
      <c r="F634" s="3" t="str">
        <f>IFERROR(__xludf.DUMMYFUNCTION("REGEXREPLACE(E634, ""[^A-Za-z0-9]"", """")"),"DetailedHouseholdLanguagebyHouseholdLimitedEnglishSpeakingStatus")</f>
        <v>DetailedHouseholdLanguagebyHouseholdLimitedEnglishSpeakingStatus</v>
      </c>
      <c r="G634" s="7"/>
      <c r="H634" s="7" t="s">
        <v>2265</v>
      </c>
      <c r="I634" s="1" t="s">
        <v>2266</v>
      </c>
      <c r="J634" s="7" t="s">
        <v>2267</v>
      </c>
      <c r="K634" s="1"/>
      <c r="L634" s="1" t="s">
        <v>2268</v>
      </c>
      <c r="M634" s="1"/>
      <c r="N634" s="1"/>
      <c r="O634" s="1" t="str">
        <f t="shared" si="1"/>
        <v> = 'B16002_010',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2" t="s">
        <v>10</v>
      </c>
      <c r="B635" s="1"/>
      <c r="C635" s="7" t="s">
        <v>1158</v>
      </c>
      <c r="D635" s="7" t="s">
        <v>1159</v>
      </c>
      <c r="E635" s="7" t="s">
        <v>2232</v>
      </c>
      <c r="F635" s="3" t="str">
        <f>IFERROR(__xludf.DUMMYFUNCTION("REGEXREPLACE(E635, ""[^A-Za-z0-9]"", """")"),"DetailedHouseholdLanguagebyHouseholdLimitedEnglishSpeakingStatus")</f>
        <v>DetailedHouseholdLanguagebyHouseholdLimitedEnglishSpeakingStatus</v>
      </c>
      <c r="G635" s="7"/>
      <c r="H635" s="7" t="s">
        <v>2269</v>
      </c>
      <c r="I635" s="1" t="s">
        <v>2270</v>
      </c>
      <c r="J635" s="7" t="s">
        <v>2271</v>
      </c>
      <c r="K635" s="1"/>
      <c r="L635" s="1" t="s">
        <v>2272</v>
      </c>
      <c r="M635" s="1"/>
      <c r="N635" s="1"/>
      <c r="O635" s="1" t="str">
        <f t="shared" si="1"/>
        <v> = 'B16002_011',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2" t="s">
        <v>10</v>
      </c>
      <c r="B636" s="1"/>
      <c r="C636" s="7" t="s">
        <v>1158</v>
      </c>
      <c r="D636" s="7" t="s">
        <v>1159</v>
      </c>
      <c r="E636" s="7" t="s">
        <v>2232</v>
      </c>
      <c r="F636" s="3" t="str">
        <f>IFERROR(__xludf.DUMMYFUNCTION("REGEXREPLACE(E636, ""[^A-Za-z0-9]"", """")"),"DetailedHouseholdLanguagebyHouseholdLimitedEnglishSpeakingStatus")</f>
        <v>DetailedHouseholdLanguagebyHouseholdLimitedEnglishSpeakingStatus</v>
      </c>
      <c r="G636" s="7"/>
      <c r="H636" s="7" t="s">
        <v>2273</v>
      </c>
      <c r="I636" s="1" t="s">
        <v>2274</v>
      </c>
      <c r="J636" s="7" t="s">
        <v>2275</v>
      </c>
      <c r="K636" s="1"/>
      <c r="L636" s="1" t="s">
        <v>2276</v>
      </c>
      <c r="M636" s="1"/>
      <c r="N636" s="1"/>
      <c r="O636" s="1" t="str">
        <f t="shared" si="1"/>
        <v> = 'B16002_012',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2" t="s">
        <v>10</v>
      </c>
      <c r="B637" s="1"/>
      <c r="C637" s="7" t="s">
        <v>1158</v>
      </c>
      <c r="D637" s="7" t="s">
        <v>1159</v>
      </c>
      <c r="E637" s="7" t="s">
        <v>2232</v>
      </c>
      <c r="F637" s="3" t="str">
        <f>IFERROR(__xludf.DUMMYFUNCTION("REGEXREPLACE(E637, ""[^A-Za-z0-9]"", """")"),"DetailedHouseholdLanguagebyHouseholdLimitedEnglishSpeakingStatus")</f>
        <v>DetailedHouseholdLanguagebyHouseholdLimitedEnglishSpeakingStatus</v>
      </c>
      <c r="G637" s="7"/>
      <c r="H637" s="7" t="s">
        <v>2277</v>
      </c>
      <c r="I637" s="1" t="s">
        <v>2278</v>
      </c>
      <c r="J637" s="7" t="s">
        <v>2279</v>
      </c>
      <c r="K637" s="1"/>
      <c r="L637" s="1" t="s">
        <v>2280</v>
      </c>
      <c r="M637" s="1"/>
      <c r="N637" s="1"/>
      <c r="O637" s="1" t="str">
        <f t="shared" si="1"/>
        <v> = 'B16002_013',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2" t="s">
        <v>10</v>
      </c>
      <c r="B638" s="1"/>
      <c r="C638" s="7" t="s">
        <v>1158</v>
      </c>
      <c r="D638" s="7" t="s">
        <v>1159</v>
      </c>
      <c r="E638" s="7" t="s">
        <v>2232</v>
      </c>
      <c r="F638" s="3" t="str">
        <f>IFERROR(__xludf.DUMMYFUNCTION("REGEXREPLACE(E638, ""[^A-Za-z0-9]"", """")"),"DetailedHouseholdLanguagebyHouseholdLimitedEnglishSpeakingStatus")</f>
        <v>DetailedHouseholdLanguagebyHouseholdLimitedEnglishSpeakingStatus</v>
      </c>
      <c r="G638" s="7"/>
      <c r="H638" s="7" t="s">
        <v>2281</v>
      </c>
      <c r="I638" s="1" t="s">
        <v>2282</v>
      </c>
      <c r="J638" s="7" t="s">
        <v>2283</v>
      </c>
      <c r="K638" s="1"/>
      <c r="L638" s="1" t="s">
        <v>2284</v>
      </c>
      <c r="M638" s="1"/>
      <c r="N638" s="1"/>
      <c r="O638" s="1" t="str">
        <f t="shared" si="1"/>
        <v> = 'B16002_014',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2" t="s">
        <v>10</v>
      </c>
      <c r="B639" s="1"/>
      <c r="C639" s="7" t="s">
        <v>1158</v>
      </c>
      <c r="D639" s="7" t="s">
        <v>1159</v>
      </c>
      <c r="E639" s="7" t="s">
        <v>2232</v>
      </c>
      <c r="F639" s="3" t="str">
        <f>IFERROR(__xludf.DUMMYFUNCTION("REGEXREPLACE(E639, ""[^A-Za-z0-9]"", """")"),"DetailedHouseholdLanguagebyHouseholdLimitedEnglishSpeakingStatus")</f>
        <v>DetailedHouseholdLanguagebyHouseholdLimitedEnglishSpeakingStatus</v>
      </c>
      <c r="G639" s="7"/>
      <c r="H639" s="7" t="s">
        <v>1968</v>
      </c>
      <c r="I639" s="1" t="s">
        <v>2285</v>
      </c>
      <c r="J639" s="7" t="s">
        <v>2286</v>
      </c>
      <c r="K639" s="1"/>
      <c r="L639" s="1" t="s">
        <v>1971</v>
      </c>
      <c r="M639" s="1"/>
      <c r="N639" s="1"/>
      <c r="O639" s="1" t="str">
        <f t="shared" si="1"/>
        <v> = 'B16002_015',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2" t="s">
        <v>10</v>
      </c>
      <c r="B640" s="1"/>
      <c r="C640" s="7" t="s">
        <v>1158</v>
      </c>
      <c r="D640" s="7" t="s">
        <v>1159</v>
      </c>
      <c r="E640" s="7" t="s">
        <v>2232</v>
      </c>
      <c r="F640" s="3" t="str">
        <f>IFERROR(__xludf.DUMMYFUNCTION("REGEXREPLACE(E640, ""[^A-Za-z0-9]"", """")"),"DetailedHouseholdLanguagebyHouseholdLimitedEnglishSpeakingStatus")</f>
        <v>DetailedHouseholdLanguagebyHouseholdLimitedEnglishSpeakingStatus</v>
      </c>
      <c r="G640" s="7"/>
      <c r="H640" s="7" t="s">
        <v>2287</v>
      </c>
      <c r="I640" s="1" t="s">
        <v>2288</v>
      </c>
      <c r="J640" s="7" t="s">
        <v>2289</v>
      </c>
      <c r="K640" s="1"/>
      <c r="L640" s="1" t="s">
        <v>2290</v>
      </c>
      <c r="M640" s="1"/>
      <c r="N640" s="1"/>
      <c r="O640" s="1" t="str">
        <f t="shared" si="1"/>
        <v> = 'B16002_016',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2" t="s">
        <v>10</v>
      </c>
      <c r="B641" s="1"/>
      <c r="C641" s="7" t="s">
        <v>1158</v>
      </c>
      <c r="D641" s="7" t="s">
        <v>1159</v>
      </c>
      <c r="E641" s="7" t="s">
        <v>2232</v>
      </c>
      <c r="F641" s="3" t="str">
        <f>IFERROR(__xludf.DUMMYFUNCTION("REGEXREPLACE(E641, ""[^A-Za-z0-9]"", """")"),"DetailedHouseholdLanguagebyHouseholdLimitedEnglishSpeakingStatus")</f>
        <v>DetailedHouseholdLanguagebyHouseholdLimitedEnglishSpeakingStatus</v>
      </c>
      <c r="G641" s="7"/>
      <c r="H641" s="7" t="s">
        <v>2291</v>
      </c>
      <c r="I641" s="1" t="s">
        <v>2292</v>
      </c>
      <c r="J641" s="7" t="s">
        <v>2293</v>
      </c>
      <c r="K641" s="1"/>
      <c r="L641" s="1" t="s">
        <v>2294</v>
      </c>
      <c r="M641" s="1"/>
      <c r="N641" s="1"/>
      <c r="O641" s="1" t="str">
        <f t="shared" si="1"/>
        <v> = 'B16002_017',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2" t="s">
        <v>10</v>
      </c>
      <c r="B642" s="1"/>
      <c r="C642" s="7" t="s">
        <v>1158</v>
      </c>
      <c r="D642" s="7" t="s">
        <v>1159</v>
      </c>
      <c r="E642" s="7" t="s">
        <v>2232</v>
      </c>
      <c r="F642" s="3" t="str">
        <f>IFERROR(__xludf.DUMMYFUNCTION("REGEXREPLACE(E642, ""[^A-Za-z0-9]"", """")"),"DetailedHouseholdLanguagebyHouseholdLimitedEnglishSpeakingStatus")</f>
        <v>DetailedHouseholdLanguagebyHouseholdLimitedEnglishSpeakingStatus</v>
      </c>
      <c r="G642" s="7"/>
      <c r="H642" s="7" t="s">
        <v>2040</v>
      </c>
      <c r="I642" s="1" t="s">
        <v>2295</v>
      </c>
      <c r="J642" s="7" t="s">
        <v>2296</v>
      </c>
      <c r="K642" s="1"/>
      <c r="L642" s="1" t="s">
        <v>2043</v>
      </c>
      <c r="M642" s="1"/>
      <c r="N642" s="1"/>
      <c r="O642" s="1" t="str">
        <f t="shared" si="1"/>
        <v> = 'B16002_018',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2" t="s">
        <v>10</v>
      </c>
      <c r="B643" s="1"/>
      <c r="C643" s="7" t="s">
        <v>1158</v>
      </c>
      <c r="D643" s="7" t="s">
        <v>1159</v>
      </c>
      <c r="E643" s="7" t="s">
        <v>2232</v>
      </c>
      <c r="F643" s="3" t="str">
        <f>IFERROR(__xludf.DUMMYFUNCTION("REGEXREPLACE(E643, ""[^A-Za-z0-9]"", """")"),"DetailedHouseholdLanguagebyHouseholdLimitedEnglishSpeakingStatus")</f>
        <v>DetailedHouseholdLanguagebyHouseholdLimitedEnglishSpeakingStatus</v>
      </c>
      <c r="G643" s="7"/>
      <c r="H643" s="7" t="s">
        <v>2297</v>
      </c>
      <c r="I643" s="1" t="s">
        <v>2298</v>
      </c>
      <c r="J643" s="7" t="s">
        <v>2299</v>
      </c>
      <c r="K643" s="1"/>
      <c r="L643" s="1" t="s">
        <v>2300</v>
      </c>
      <c r="M643" s="1"/>
      <c r="N643" s="1"/>
      <c r="O643" s="1" t="str">
        <f t="shared" si="1"/>
        <v> = 'B16002_019',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2" t="s">
        <v>10</v>
      </c>
      <c r="B644" s="1"/>
      <c r="C644" s="7" t="s">
        <v>1158</v>
      </c>
      <c r="D644" s="7" t="s">
        <v>1159</v>
      </c>
      <c r="E644" s="7" t="s">
        <v>2232</v>
      </c>
      <c r="F644" s="3" t="str">
        <f>IFERROR(__xludf.DUMMYFUNCTION("REGEXREPLACE(E644, ""[^A-Za-z0-9]"", """")"),"DetailedHouseholdLanguagebyHouseholdLimitedEnglishSpeakingStatus")</f>
        <v>DetailedHouseholdLanguagebyHouseholdLimitedEnglishSpeakingStatus</v>
      </c>
      <c r="G644" s="7"/>
      <c r="H644" s="7" t="s">
        <v>2301</v>
      </c>
      <c r="I644" s="1" t="s">
        <v>2302</v>
      </c>
      <c r="J644" s="7" t="s">
        <v>2303</v>
      </c>
      <c r="K644" s="1"/>
      <c r="L644" s="1" t="s">
        <v>2304</v>
      </c>
      <c r="M644" s="1"/>
      <c r="N644" s="1"/>
      <c r="O644" s="1" t="str">
        <f t="shared" si="1"/>
        <v> = 'B16002_020',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2" t="s">
        <v>10</v>
      </c>
      <c r="B645" s="1"/>
      <c r="C645" s="7" t="s">
        <v>1158</v>
      </c>
      <c r="D645" s="7" t="s">
        <v>1159</v>
      </c>
      <c r="E645" s="7" t="s">
        <v>2232</v>
      </c>
      <c r="F645" s="3" t="str">
        <f>IFERROR(__xludf.DUMMYFUNCTION("REGEXREPLACE(E645, ""[^A-Za-z0-9]"", """")"),"DetailedHouseholdLanguagebyHouseholdLimitedEnglishSpeakingStatus")</f>
        <v>DetailedHouseholdLanguagebyHouseholdLimitedEnglishSpeakingStatus</v>
      </c>
      <c r="G645" s="7"/>
      <c r="H645" s="7" t="s">
        <v>2016</v>
      </c>
      <c r="I645" s="1" t="s">
        <v>2305</v>
      </c>
      <c r="J645" s="7" t="s">
        <v>2306</v>
      </c>
      <c r="K645" s="1"/>
      <c r="L645" s="1" t="s">
        <v>2019</v>
      </c>
      <c r="M645" s="1"/>
      <c r="N645" s="1"/>
      <c r="O645" s="1" t="str">
        <f t="shared" si="1"/>
        <v> = 'B16002_021',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2" t="s">
        <v>10</v>
      </c>
      <c r="B646" s="1"/>
      <c r="C646" s="7" t="s">
        <v>1158</v>
      </c>
      <c r="D646" s="7" t="s">
        <v>1159</v>
      </c>
      <c r="E646" s="7" t="s">
        <v>2232</v>
      </c>
      <c r="F646" s="3" t="str">
        <f>IFERROR(__xludf.DUMMYFUNCTION("REGEXREPLACE(E646, ""[^A-Za-z0-9]"", """")"),"DetailedHouseholdLanguagebyHouseholdLimitedEnglishSpeakingStatus")</f>
        <v>DetailedHouseholdLanguagebyHouseholdLimitedEnglishSpeakingStatus</v>
      </c>
      <c r="G646" s="7"/>
      <c r="H646" s="7" t="s">
        <v>2307</v>
      </c>
      <c r="I646" s="1" t="s">
        <v>2308</v>
      </c>
      <c r="J646" s="7" t="s">
        <v>2309</v>
      </c>
      <c r="K646" s="1"/>
      <c r="L646" s="1" t="s">
        <v>2310</v>
      </c>
      <c r="M646" s="1"/>
      <c r="N646" s="1"/>
      <c r="O646" s="1" t="str">
        <f t="shared" si="1"/>
        <v> = 'B16002_022',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2" t="s">
        <v>10</v>
      </c>
      <c r="B647" s="1"/>
      <c r="C647" s="7" t="s">
        <v>1158</v>
      </c>
      <c r="D647" s="7" t="s">
        <v>1159</v>
      </c>
      <c r="E647" s="7" t="s">
        <v>2232</v>
      </c>
      <c r="F647" s="3" t="str">
        <f>IFERROR(__xludf.DUMMYFUNCTION("REGEXREPLACE(E647, ""[^A-Za-z0-9]"", """")"),"DetailedHouseholdLanguagebyHouseholdLimitedEnglishSpeakingStatus")</f>
        <v>DetailedHouseholdLanguagebyHouseholdLimitedEnglishSpeakingStatus</v>
      </c>
      <c r="G647" s="7"/>
      <c r="H647" s="7" t="s">
        <v>2311</v>
      </c>
      <c r="I647" s="1" t="s">
        <v>2312</v>
      </c>
      <c r="J647" s="7" t="s">
        <v>2313</v>
      </c>
      <c r="K647" s="1"/>
      <c r="L647" s="1" t="s">
        <v>2314</v>
      </c>
      <c r="M647" s="1"/>
      <c r="N647" s="1"/>
      <c r="O647" s="1" t="str">
        <f t="shared" si="1"/>
        <v> = 'B16002_023',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2" t="s">
        <v>10</v>
      </c>
      <c r="B648" s="1"/>
      <c r="C648" s="7" t="s">
        <v>1158</v>
      </c>
      <c r="D648" s="7" t="s">
        <v>1159</v>
      </c>
      <c r="E648" s="7" t="s">
        <v>2232</v>
      </c>
      <c r="F648" s="3" t="str">
        <f>IFERROR(__xludf.DUMMYFUNCTION("REGEXREPLACE(E648, ""[^A-Za-z0-9]"", """")"),"DetailedHouseholdLanguagebyHouseholdLimitedEnglishSpeakingStatus")</f>
        <v>DetailedHouseholdLanguagebyHouseholdLimitedEnglishSpeakingStatus</v>
      </c>
      <c r="G648" s="7"/>
      <c r="H648" s="7" t="s">
        <v>2064</v>
      </c>
      <c r="I648" s="1" t="s">
        <v>2315</v>
      </c>
      <c r="J648" s="7" t="s">
        <v>2316</v>
      </c>
      <c r="K648" s="1"/>
      <c r="L648" s="1" t="s">
        <v>2067</v>
      </c>
      <c r="M648" s="1"/>
      <c r="N648" s="1"/>
      <c r="O648" s="1" t="str">
        <f t="shared" si="1"/>
        <v> = 'B16002_024',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2" t="s">
        <v>10</v>
      </c>
      <c r="B649" s="1"/>
      <c r="C649" s="7" t="s">
        <v>1158</v>
      </c>
      <c r="D649" s="7" t="s">
        <v>1159</v>
      </c>
      <c r="E649" s="7" t="s">
        <v>2232</v>
      </c>
      <c r="F649" s="3" t="str">
        <f>IFERROR(__xludf.DUMMYFUNCTION("REGEXREPLACE(E649, ""[^A-Za-z0-9]"", """")"),"DetailedHouseholdLanguagebyHouseholdLimitedEnglishSpeakingStatus")</f>
        <v>DetailedHouseholdLanguagebyHouseholdLimitedEnglishSpeakingStatus</v>
      </c>
      <c r="G649" s="7"/>
      <c r="H649" s="7" t="s">
        <v>2317</v>
      </c>
      <c r="I649" s="1" t="s">
        <v>2318</v>
      </c>
      <c r="J649" s="7" t="s">
        <v>2319</v>
      </c>
      <c r="K649" s="1"/>
      <c r="L649" s="1" t="s">
        <v>2320</v>
      </c>
      <c r="M649" s="1"/>
      <c r="N649" s="1"/>
      <c r="O649" s="1" t="str">
        <f t="shared" si="1"/>
        <v> = 'B16002_025',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2" t="s">
        <v>10</v>
      </c>
      <c r="B650" s="1"/>
      <c r="C650" s="7" t="s">
        <v>1158</v>
      </c>
      <c r="D650" s="7" t="s">
        <v>1159</v>
      </c>
      <c r="E650" s="7" t="s">
        <v>2232</v>
      </c>
      <c r="F650" s="3" t="str">
        <f>IFERROR(__xludf.DUMMYFUNCTION("REGEXREPLACE(E650, ""[^A-Za-z0-9]"", """")"),"DetailedHouseholdLanguagebyHouseholdLimitedEnglishSpeakingStatus")</f>
        <v>DetailedHouseholdLanguagebyHouseholdLimitedEnglishSpeakingStatus</v>
      </c>
      <c r="G650" s="7"/>
      <c r="H650" s="7" t="s">
        <v>2321</v>
      </c>
      <c r="I650" s="1" t="s">
        <v>2322</v>
      </c>
      <c r="J650" s="7" t="s">
        <v>2323</v>
      </c>
      <c r="K650" s="1"/>
      <c r="L650" s="1" t="s">
        <v>2324</v>
      </c>
      <c r="M650" s="1"/>
      <c r="N650" s="1"/>
      <c r="O650" s="1" t="str">
        <f t="shared" si="1"/>
        <v> = 'B16002_026',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2" t="s">
        <v>10</v>
      </c>
      <c r="B651" s="1"/>
      <c r="C651" s="7" t="s">
        <v>1158</v>
      </c>
      <c r="D651" s="7" t="s">
        <v>1159</v>
      </c>
      <c r="E651" s="7" t="s">
        <v>2232</v>
      </c>
      <c r="F651" s="3" t="str">
        <f>IFERROR(__xludf.DUMMYFUNCTION("REGEXREPLACE(E651, ""[^A-Za-z0-9]"", """")"),"DetailedHouseholdLanguagebyHouseholdLimitedEnglishSpeakingStatus")</f>
        <v>DetailedHouseholdLanguagebyHouseholdLimitedEnglishSpeakingStatus</v>
      </c>
      <c r="G651" s="7"/>
      <c r="H651" s="7" t="s">
        <v>2112</v>
      </c>
      <c r="I651" s="1" t="s">
        <v>2325</v>
      </c>
      <c r="J651" s="7" t="s">
        <v>2326</v>
      </c>
      <c r="K651" s="1"/>
      <c r="L651" s="1" t="s">
        <v>2115</v>
      </c>
      <c r="M651" s="1"/>
      <c r="N651" s="1"/>
      <c r="O651" s="1" t="str">
        <f t="shared" si="1"/>
        <v> = 'B16002_027',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2" t="s">
        <v>10</v>
      </c>
      <c r="B652" s="1"/>
      <c r="C652" s="7" t="s">
        <v>1158</v>
      </c>
      <c r="D652" s="7" t="s">
        <v>1159</v>
      </c>
      <c r="E652" s="7" t="s">
        <v>2232</v>
      </c>
      <c r="F652" s="3" t="str">
        <f>IFERROR(__xludf.DUMMYFUNCTION("REGEXREPLACE(E652, ""[^A-Za-z0-9]"", """")"),"DetailedHouseholdLanguagebyHouseholdLimitedEnglishSpeakingStatus")</f>
        <v>DetailedHouseholdLanguagebyHouseholdLimitedEnglishSpeakingStatus</v>
      </c>
      <c r="G652" s="7"/>
      <c r="H652" s="7" t="s">
        <v>2327</v>
      </c>
      <c r="I652" s="1" t="s">
        <v>2328</v>
      </c>
      <c r="J652" s="7" t="s">
        <v>2329</v>
      </c>
      <c r="K652" s="1"/>
      <c r="L652" s="1" t="s">
        <v>2330</v>
      </c>
      <c r="M652" s="1"/>
      <c r="N652" s="1"/>
      <c r="O652" s="1" t="str">
        <f t="shared" si="1"/>
        <v> = 'B16002_028',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2" t="s">
        <v>10</v>
      </c>
      <c r="B653" s="1"/>
      <c r="C653" s="7" t="s">
        <v>1158</v>
      </c>
      <c r="D653" s="7" t="s">
        <v>1159</v>
      </c>
      <c r="E653" s="7" t="s">
        <v>2232</v>
      </c>
      <c r="F653" s="3" t="str">
        <f>IFERROR(__xludf.DUMMYFUNCTION("REGEXREPLACE(E653, ""[^A-Za-z0-9]"", """")"),"DetailedHouseholdLanguagebyHouseholdLimitedEnglishSpeakingStatus")</f>
        <v>DetailedHouseholdLanguagebyHouseholdLimitedEnglishSpeakingStatus</v>
      </c>
      <c r="G653" s="7"/>
      <c r="H653" s="7" t="s">
        <v>2331</v>
      </c>
      <c r="I653" s="1" t="s">
        <v>2332</v>
      </c>
      <c r="J653" s="7" t="s">
        <v>2333</v>
      </c>
      <c r="K653" s="1"/>
      <c r="L653" s="1" t="s">
        <v>2334</v>
      </c>
      <c r="M653" s="1"/>
      <c r="N653" s="1"/>
      <c r="O653" s="1" t="str">
        <f t="shared" si="1"/>
        <v> = 'B16002_029',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2" t="s">
        <v>10</v>
      </c>
      <c r="B654" s="1"/>
      <c r="C654" s="7" t="s">
        <v>1158</v>
      </c>
      <c r="D654" s="7" t="s">
        <v>1159</v>
      </c>
      <c r="E654" s="7" t="s">
        <v>2232</v>
      </c>
      <c r="F654" s="3" t="str">
        <f>IFERROR(__xludf.DUMMYFUNCTION("REGEXREPLACE(E654, ""[^A-Za-z0-9]"", """")"),"DetailedHouseholdLanguagebyHouseholdLimitedEnglishSpeakingStatus")</f>
        <v>DetailedHouseholdLanguagebyHouseholdLimitedEnglishSpeakingStatus</v>
      </c>
      <c r="G654" s="7"/>
      <c r="H654" s="7" t="s">
        <v>2335</v>
      </c>
      <c r="I654" s="1" t="s">
        <v>2336</v>
      </c>
      <c r="J654" s="7" t="s">
        <v>2337</v>
      </c>
      <c r="K654" s="1"/>
      <c r="L654" s="1" t="s">
        <v>2338</v>
      </c>
      <c r="M654" s="1"/>
      <c r="N654" s="1"/>
      <c r="O654" s="1" t="str">
        <f t="shared" si="1"/>
        <v> = 'B16002_030',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2" t="s">
        <v>10</v>
      </c>
      <c r="B655" s="1"/>
      <c r="C655" s="7" t="s">
        <v>1158</v>
      </c>
      <c r="D655" s="7" t="s">
        <v>1159</v>
      </c>
      <c r="E655" s="7" t="s">
        <v>2232</v>
      </c>
      <c r="F655" s="3" t="str">
        <f>IFERROR(__xludf.DUMMYFUNCTION("REGEXREPLACE(E655, ""[^A-Za-z0-9]"", """")"),"DetailedHouseholdLanguagebyHouseholdLimitedEnglishSpeakingStatus")</f>
        <v>DetailedHouseholdLanguagebyHouseholdLimitedEnglishSpeakingStatus</v>
      </c>
      <c r="G655" s="7"/>
      <c r="H655" s="7" t="s">
        <v>2339</v>
      </c>
      <c r="I655" s="1" t="s">
        <v>2340</v>
      </c>
      <c r="J655" s="7" t="s">
        <v>2341</v>
      </c>
      <c r="K655" s="1"/>
      <c r="L655" s="1" t="s">
        <v>2342</v>
      </c>
      <c r="M655" s="1"/>
      <c r="N655" s="1"/>
      <c r="O655" s="1" t="str">
        <f t="shared" si="1"/>
        <v> = 'B16002_031',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2" t="s">
        <v>10</v>
      </c>
      <c r="B656" s="1"/>
      <c r="C656" s="7" t="s">
        <v>1158</v>
      </c>
      <c r="D656" s="7" t="s">
        <v>1159</v>
      </c>
      <c r="E656" s="7" t="s">
        <v>2232</v>
      </c>
      <c r="F656" s="3" t="str">
        <f>IFERROR(__xludf.DUMMYFUNCTION("REGEXREPLACE(E656, ""[^A-Za-z0-9]"", """")"),"DetailedHouseholdLanguagebyHouseholdLimitedEnglishSpeakingStatus")</f>
        <v>DetailedHouseholdLanguagebyHouseholdLimitedEnglishSpeakingStatus</v>
      </c>
      <c r="G656" s="7"/>
      <c r="H656" s="7" t="s">
        <v>2343</v>
      </c>
      <c r="I656" s="1" t="s">
        <v>2344</v>
      </c>
      <c r="J656" s="7" t="s">
        <v>2345</v>
      </c>
      <c r="K656" s="1"/>
      <c r="L656" s="1" t="s">
        <v>2346</v>
      </c>
      <c r="M656" s="1"/>
      <c r="N656" s="1"/>
      <c r="O656" s="1" t="str">
        <f t="shared" si="1"/>
        <v> = 'B16002_032',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2" t="s">
        <v>10</v>
      </c>
      <c r="B657" s="1"/>
      <c r="C657" s="7" t="s">
        <v>1158</v>
      </c>
      <c r="D657" s="7" t="s">
        <v>1159</v>
      </c>
      <c r="E657" s="7" t="s">
        <v>2232</v>
      </c>
      <c r="F657" s="3" t="str">
        <f>IFERROR(__xludf.DUMMYFUNCTION("REGEXREPLACE(E657, ""[^A-Za-z0-9]"", """")"),"DetailedHouseholdLanguagebyHouseholdLimitedEnglishSpeakingStatus")</f>
        <v>DetailedHouseholdLanguagebyHouseholdLimitedEnglishSpeakingStatus</v>
      </c>
      <c r="G657" s="7"/>
      <c r="H657" s="7" t="s">
        <v>2136</v>
      </c>
      <c r="I657" s="1" t="s">
        <v>2347</v>
      </c>
      <c r="J657" s="7" t="s">
        <v>2348</v>
      </c>
      <c r="K657" s="1"/>
      <c r="L657" s="1" t="s">
        <v>2139</v>
      </c>
      <c r="M657" s="1"/>
      <c r="N657" s="1"/>
      <c r="O657" s="1" t="str">
        <f t="shared" si="1"/>
        <v> = 'B16002_033',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2" t="s">
        <v>10</v>
      </c>
      <c r="B658" s="1"/>
      <c r="C658" s="7" t="s">
        <v>1158</v>
      </c>
      <c r="D658" s="7" t="s">
        <v>1159</v>
      </c>
      <c r="E658" s="7" t="s">
        <v>2232</v>
      </c>
      <c r="F658" s="3" t="str">
        <f>IFERROR(__xludf.DUMMYFUNCTION("REGEXREPLACE(E658, ""[^A-Za-z0-9]"", """")"),"DetailedHouseholdLanguagebyHouseholdLimitedEnglishSpeakingStatus")</f>
        <v>DetailedHouseholdLanguagebyHouseholdLimitedEnglishSpeakingStatus</v>
      </c>
      <c r="G658" s="7"/>
      <c r="H658" s="7" t="s">
        <v>2349</v>
      </c>
      <c r="I658" s="1" t="s">
        <v>2350</v>
      </c>
      <c r="J658" s="7" t="s">
        <v>2351</v>
      </c>
      <c r="K658" s="1"/>
      <c r="L658" s="1" t="s">
        <v>2352</v>
      </c>
      <c r="M658" s="1"/>
      <c r="N658" s="1"/>
      <c r="O658" s="1" t="str">
        <f t="shared" si="1"/>
        <v> = 'B16002_034',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2" t="s">
        <v>10</v>
      </c>
      <c r="B659" s="1"/>
      <c r="C659" s="7" t="s">
        <v>1158</v>
      </c>
      <c r="D659" s="7" t="s">
        <v>1159</v>
      </c>
      <c r="E659" s="7" t="s">
        <v>2232</v>
      </c>
      <c r="F659" s="3" t="str">
        <f>IFERROR(__xludf.DUMMYFUNCTION("REGEXREPLACE(E659, ""[^A-Za-z0-9]"", """")"),"DetailedHouseholdLanguagebyHouseholdLimitedEnglishSpeakingStatus")</f>
        <v>DetailedHouseholdLanguagebyHouseholdLimitedEnglishSpeakingStatus</v>
      </c>
      <c r="G659" s="7"/>
      <c r="H659" s="7" t="s">
        <v>2353</v>
      </c>
      <c r="I659" s="1" t="s">
        <v>2354</v>
      </c>
      <c r="J659" s="7" t="s">
        <v>2355</v>
      </c>
      <c r="K659" s="1"/>
      <c r="L659" s="1" t="s">
        <v>2356</v>
      </c>
      <c r="M659" s="1"/>
      <c r="N659" s="1"/>
      <c r="O659" s="1" t="str">
        <f t="shared" si="1"/>
        <v> = 'B16002_035',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2" t="s">
        <v>10</v>
      </c>
      <c r="B660" s="1"/>
      <c r="C660" s="7" t="s">
        <v>1158</v>
      </c>
      <c r="D660" s="7" t="s">
        <v>1159</v>
      </c>
      <c r="E660" s="7" t="s">
        <v>2232</v>
      </c>
      <c r="F660" s="3" t="str">
        <f>IFERROR(__xludf.DUMMYFUNCTION("REGEXREPLACE(E660, ""[^A-Za-z0-9]"", """")"),"DetailedHouseholdLanguagebyHouseholdLimitedEnglishSpeakingStatus")</f>
        <v>DetailedHouseholdLanguagebyHouseholdLimitedEnglishSpeakingStatus</v>
      </c>
      <c r="G660" s="7"/>
      <c r="H660" s="7" t="s">
        <v>2220</v>
      </c>
      <c r="I660" s="1" t="s">
        <v>2357</v>
      </c>
      <c r="J660" s="7" t="s">
        <v>2358</v>
      </c>
      <c r="K660" s="1"/>
      <c r="L660" s="1" t="s">
        <v>2223</v>
      </c>
      <c r="M660" s="1"/>
      <c r="N660" s="1"/>
      <c r="O660" s="1" t="str">
        <f t="shared" si="1"/>
        <v> = 'B16002_036',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2" t="s">
        <v>10</v>
      </c>
      <c r="B661" s="1"/>
      <c r="C661" s="7" t="s">
        <v>1158</v>
      </c>
      <c r="D661" s="7" t="s">
        <v>1159</v>
      </c>
      <c r="E661" s="7" t="s">
        <v>2232</v>
      </c>
      <c r="F661" s="3" t="str">
        <f>IFERROR(__xludf.DUMMYFUNCTION("REGEXREPLACE(E661, ""[^A-Za-z0-9]"", """")"),"DetailedHouseholdLanguagebyHouseholdLimitedEnglishSpeakingStatus")</f>
        <v>DetailedHouseholdLanguagebyHouseholdLimitedEnglishSpeakingStatus</v>
      </c>
      <c r="G661" s="7"/>
      <c r="H661" s="7" t="s">
        <v>2359</v>
      </c>
      <c r="I661" s="1" t="s">
        <v>2360</v>
      </c>
      <c r="J661" s="7" t="s">
        <v>2361</v>
      </c>
      <c r="K661" s="1"/>
      <c r="L661" s="1" t="s">
        <v>2362</v>
      </c>
      <c r="M661" s="1"/>
      <c r="N661" s="1"/>
      <c r="O661" s="1" t="str">
        <f t="shared" si="1"/>
        <v> = 'B16002_037',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2" t="s">
        <v>10</v>
      </c>
      <c r="B662" s="1"/>
      <c r="C662" s="7" t="s">
        <v>1158</v>
      </c>
      <c r="D662" s="7" t="s">
        <v>1159</v>
      </c>
      <c r="E662" s="7" t="s">
        <v>2232</v>
      </c>
      <c r="F662" s="3" t="str">
        <f>IFERROR(__xludf.DUMMYFUNCTION("REGEXREPLACE(E662, ""[^A-Za-z0-9]"", """")"),"DetailedHouseholdLanguagebyHouseholdLimitedEnglishSpeakingStatus")</f>
        <v>DetailedHouseholdLanguagebyHouseholdLimitedEnglishSpeakingStatus</v>
      </c>
      <c r="G662" s="7"/>
      <c r="H662" s="7" t="s">
        <v>2363</v>
      </c>
      <c r="I662" s="1" t="s">
        <v>2364</v>
      </c>
      <c r="J662" s="7" t="s">
        <v>2365</v>
      </c>
      <c r="K662" s="1"/>
      <c r="L662" s="1" t="s">
        <v>2366</v>
      </c>
      <c r="M662" s="1"/>
      <c r="N662" s="1"/>
      <c r="O662" s="1" t="str">
        <f t="shared" si="1"/>
        <v> = 'B16002_038',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2" t="s">
        <v>10</v>
      </c>
      <c r="B663" s="1"/>
      <c r="C663" s="7" t="s">
        <v>1158</v>
      </c>
      <c r="D663" s="7" t="s">
        <v>1159</v>
      </c>
      <c r="E663" s="7" t="s">
        <v>2367</v>
      </c>
      <c r="F663" s="3" t="str">
        <f>IFERROR(__xludf.DUMMYFUNCTION("REGEXREPLACE(E663, ""[^A-Za-z0-9]"", """")"),"AgebyLanguageSpokenatHomeforthePopulation5YearsandOverinLimitedEnglishSpeakingHouseholds")</f>
        <v>AgebyLanguageSpokenatHomeforthePopulation5YearsandOverinLimitedEnglishSpeakingHouseholds</v>
      </c>
      <c r="G663" s="7"/>
      <c r="H663" s="7" t="s">
        <v>16</v>
      </c>
      <c r="I663" s="1" t="s">
        <v>2368</v>
      </c>
      <c r="J663" s="7" t="s">
        <v>2369</v>
      </c>
      <c r="K663" s="1"/>
      <c r="L663" s="1" t="s">
        <v>20</v>
      </c>
      <c r="M663" s="1"/>
      <c r="N663" s="1"/>
      <c r="O663" s="1" t="str">
        <f t="shared" si="1"/>
        <v> = 'B16003_001',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2" t="s">
        <v>10</v>
      </c>
      <c r="B664" s="1"/>
      <c r="C664" s="7" t="s">
        <v>1158</v>
      </c>
      <c r="D664" s="7" t="s">
        <v>1159</v>
      </c>
      <c r="E664" s="7" t="s">
        <v>2367</v>
      </c>
      <c r="F664" s="3" t="str">
        <f>IFERROR(__xludf.DUMMYFUNCTION("REGEXREPLACE(E664, ""[^A-Za-z0-9]"", """")"),"AgebyLanguageSpokenatHomeforthePopulation5YearsandOverinLimitedEnglishSpeakingHouseholds")</f>
        <v>AgebyLanguageSpokenatHomeforthePopulation5YearsandOverinLimitedEnglishSpeakingHouseholds</v>
      </c>
      <c r="G664" s="7"/>
      <c r="H664" s="7" t="s">
        <v>2370</v>
      </c>
      <c r="I664" s="1" t="s">
        <v>2371</v>
      </c>
      <c r="J664" s="7" t="s">
        <v>2372</v>
      </c>
      <c r="K664" s="1"/>
      <c r="L664" s="1" t="s">
        <v>2373</v>
      </c>
      <c r="M664" s="1"/>
      <c r="N664" s="1"/>
      <c r="O664" s="1" t="str">
        <f t="shared" si="1"/>
        <v> = 'B16003_002',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2" t="s">
        <v>10</v>
      </c>
      <c r="B665" s="1"/>
      <c r="C665" s="7" t="s">
        <v>1158</v>
      </c>
      <c r="D665" s="7" t="s">
        <v>1159</v>
      </c>
      <c r="E665" s="7" t="s">
        <v>2367</v>
      </c>
      <c r="F665" s="3" t="str">
        <f>IFERROR(__xludf.DUMMYFUNCTION("REGEXREPLACE(E665, ""[^A-Za-z0-9]"", """")"),"AgebyLanguageSpokenatHomeforthePopulation5YearsandOverinLimitedEnglishSpeakingHouseholds")</f>
        <v>AgebyLanguageSpokenatHomeforthePopulation5YearsandOverinLimitedEnglishSpeakingHouseholds</v>
      </c>
      <c r="G665" s="7"/>
      <c r="H665" s="7" t="s">
        <v>2374</v>
      </c>
      <c r="I665" s="1" t="s">
        <v>2375</v>
      </c>
      <c r="J665" s="7" t="s">
        <v>2376</v>
      </c>
      <c r="K665" s="1"/>
      <c r="L665" s="1" t="s">
        <v>2377</v>
      </c>
      <c r="M665" s="1"/>
      <c r="N665" s="1"/>
      <c r="O665" s="1" t="str">
        <f t="shared" si="1"/>
        <v> = 'B16003_003',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2" t="s">
        <v>10</v>
      </c>
      <c r="B666" s="1"/>
      <c r="C666" s="7" t="s">
        <v>1158</v>
      </c>
      <c r="D666" s="7" t="s">
        <v>1159</v>
      </c>
      <c r="E666" s="7" t="s">
        <v>2367</v>
      </c>
      <c r="F666" s="3" t="str">
        <f>IFERROR(__xludf.DUMMYFUNCTION("REGEXREPLACE(E666, ""[^A-Za-z0-9]"", """")"),"AgebyLanguageSpokenatHomeforthePopulation5YearsandOverinLimitedEnglishSpeakingHouseholds")</f>
        <v>AgebyLanguageSpokenatHomeforthePopulation5YearsandOverinLimitedEnglishSpeakingHouseholds</v>
      </c>
      <c r="G666" s="7"/>
      <c r="H666" s="7" t="s">
        <v>2378</v>
      </c>
      <c r="I666" s="1" t="s">
        <v>2379</v>
      </c>
      <c r="J666" s="7" t="s">
        <v>2380</v>
      </c>
      <c r="K666" s="1"/>
      <c r="L666" s="1" t="s">
        <v>2381</v>
      </c>
      <c r="M666" s="1"/>
      <c r="N666" s="1"/>
      <c r="O666" s="1" t="str">
        <f t="shared" si="1"/>
        <v> = 'B16003_004',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2" t="s">
        <v>10</v>
      </c>
      <c r="B667" s="1"/>
      <c r="C667" s="7" t="s">
        <v>1158</v>
      </c>
      <c r="D667" s="7" t="s">
        <v>1159</v>
      </c>
      <c r="E667" s="7" t="s">
        <v>2367</v>
      </c>
      <c r="F667" s="3" t="str">
        <f>IFERROR(__xludf.DUMMYFUNCTION("REGEXREPLACE(E667, ""[^A-Za-z0-9]"", """")"),"AgebyLanguageSpokenatHomeforthePopulation5YearsandOverinLimitedEnglishSpeakingHouseholds")</f>
        <v>AgebyLanguageSpokenatHomeforthePopulation5YearsandOverinLimitedEnglishSpeakingHouseholds</v>
      </c>
      <c r="G667" s="7"/>
      <c r="H667" s="7" t="s">
        <v>2382</v>
      </c>
      <c r="I667" s="1" t="s">
        <v>2383</v>
      </c>
      <c r="J667" s="7" t="s">
        <v>2384</v>
      </c>
      <c r="K667" s="1"/>
      <c r="L667" s="1" t="s">
        <v>2385</v>
      </c>
      <c r="M667" s="1"/>
      <c r="N667" s="1"/>
      <c r="O667" s="1" t="str">
        <f t="shared" si="1"/>
        <v> = 'B16003_005',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2" t="s">
        <v>10</v>
      </c>
      <c r="B668" s="1"/>
      <c r="C668" s="7" t="s">
        <v>1158</v>
      </c>
      <c r="D668" s="7" t="s">
        <v>1159</v>
      </c>
      <c r="E668" s="7" t="s">
        <v>2367</v>
      </c>
      <c r="F668" s="3" t="str">
        <f>IFERROR(__xludf.DUMMYFUNCTION("REGEXREPLACE(E668, ""[^A-Za-z0-9]"", """")"),"AgebyLanguageSpokenatHomeforthePopulation5YearsandOverinLimitedEnglishSpeakingHouseholds")</f>
        <v>AgebyLanguageSpokenatHomeforthePopulation5YearsandOverinLimitedEnglishSpeakingHouseholds</v>
      </c>
      <c r="G668" s="7"/>
      <c r="H668" s="7" t="s">
        <v>2386</v>
      </c>
      <c r="I668" s="1" t="s">
        <v>2387</v>
      </c>
      <c r="J668" s="7" t="s">
        <v>2388</v>
      </c>
      <c r="K668" s="1"/>
      <c r="L668" s="1" t="s">
        <v>2389</v>
      </c>
      <c r="M668" s="1"/>
      <c r="N668" s="1"/>
      <c r="O668" s="1" t="str">
        <f t="shared" si="1"/>
        <v> = 'B16003_006',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2" t="s">
        <v>10</v>
      </c>
      <c r="B669" s="1"/>
      <c r="C669" s="7" t="s">
        <v>1158</v>
      </c>
      <c r="D669" s="7" t="s">
        <v>1159</v>
      </c>
      <c r="E669" s="7" t="s">
        <v>2367</v>
      </c>
      <c r="F669" s="3" t="str">
        <f>IFERROR(__xludf.DUMMYFUNCTION("REGEXREPLACE(E669, ""[^A-Za-z0-9]"", """")"),"AgebyLanguageSpokenatHomeforthePopulation5YearsandOverinLimitedEnglishSpeakingHouseholds")</f>
        <v>AgebyLanguageSpokenatHomeforthePopulation5YearsandOverinLimitedEnglishSpeakingHouseholds</v>
      </c>
      <c r="G669" s="7"/>
      <c r="H669" s="7" t="s">
        <v>2390</v>
      </c>
      <c r="I669" s="1" t="s">
        <v>2391</v>
      </c>
      <c r="J669" s="7" t="s">
        <v>2392</v>
      </c>
      <c r="K669" s="1"/>
      <c r="L669" s="1" t="s">
        <v>2393</v>
      </c>
      <c r="M669" s="1"/>
      <c r="N669" s="1"/>
      <c r="O669" s="1" t="str">
        <f t="shared" si="1"/>
        <v> = 'B16003_007',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2" t="s">
        <v>10</v>
      </c>
      <c r="B670" s="1"/>
      <c r="C670" s="7" t="s">
        <v>1158</v>
      </c>
      <c r="D670" s="7" t="s">
        <v>1159</v>
      </c>
      <c r="E670" s="7" t="s">
        <v>2367</v>
      </c>
      <c r="F670" s="3" t="str">
        <f>IFERROR(__xludf.DUMMYFUNCTION("REGEXREPLACE(E670, ""[^A-Za-z0-9]"", """")"),"AgebyLanguageSpokenatHomeforthePopulation5YearsandOverinLimitedEnglishSpeakingHouseholds")</f>
        <v>AgebyLanguageSpokenatHomeforthePopulation5YearsandOverinLimitedEnglishSpeakingHouseholds</v>
      </c>
      <c r="G670" s="7"/>
      <c r="H670" s="7" t="s">
        <v>2394</v>
      </c>
      <c r="I670" s="1" t="s">
        <v>2395</v>
      </c>
      <c r="J670" s="7" t="s">
        <v>2396</v>
      </c>
      <c r="K670" s="1"/>
      <c r="L670" s="1" t="s">
        <v>2397</v>
      </c>
      <c r="M670" s="1"/>
      <c r="N670" s="1"/>
      <c r="O670" s="1" t="str">
        <f t="shared" si="1"/>
        <v> = 'B16003_008',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2" t="s">
        <v>10</v>
      </c>
      <c r="B671" s="1"/>
      <c r="C671" s="7" t="s">
        <v>1158</v>
      </c>
      <c r="D671" s="7" t="s">
        <v>1159</v>
      </c>
      <c r="E671" s="7" t="s">
        <v>2367</v>
      </c>
      <c r="F671" s="3" t="str">
        <f>IFERROR(__xludf.DUMMYFUNCTION("REGEXREPLACE(E671, ""[^A-Za-z0-9]"", """")"),"AgebyLanguageSpokenatHomeforthePopulation5YearsandOverinLimitedEnglishSpeakingHouseholds")</f>
        <v>AgebyLanguageSpokenatHomeforthePopulation5YearsandOverinLimitedEnglishSpeakingHouseholds</v>
      </c>
      <c r="G671" s="7"/>
      <c r="H671" s="7" t="s">
        <v>2398</v>
      </c>
      <c r="I671" s="1" t="s">
        <v>2399</v>
      </c>
      <c r="J671" s="7" t="s">
        <v>2400</v>
      </c>
      <c r="K671" s="1"/>
      <c r="L671" s="1" t="s">
        <v>2401</v>
      </c>
      <c r="M671" s="1"/>
      <c r="N671" s="1"/>
      <c r="O671" s="1" t="str">
        <f t="shared" si="1"/>
        <v> = 'B16003_009',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2" t="s">
        <v>10</v>
      </c>
      <c r="B672" s="1"/>
      <c r="C672" s="7" t="s">
        <v>1158</v>
      </c>
      <c r="D672" s="7" t="s">
        <v>1159</v>
      </c>
      <c r="E672" s="7" t="s">
        <v>2367</v>
      </c>
      <c r="F672" s="3" t="str">
        <f>IFERROR(__xludf.DUMMYFUNCTION("REGEXREPLACE(E672, ""[^A-Za-z0-9]"", """")"),"AgebyLanguageSpokenatHomeforthePopulation5YearsandOverinLimitedEnglishSpeakingHouseholds")</f>
        <v>AgebyLanguageSpokenatHomeforthePopulation5YearsandOverinLimitedEnglishSpeakingHouseholds</v>
      </c>
      <c r="G672" s="7"/>
      <c r="H672" s="7" t="s">
        <v>2402</v>
      </c>
      <c r="I672" s="1" t="s">
        <v>2403</v>
      </c>
      <c r="J672" s="7" t="s">
        <v>2404</v>
      </c>
      <c r="K672" s="1"/>
      <c r="L672" s="1" t="s">
        <v>2405</v>
      </c>
      <c r="M672" s="1"/>
      <c r="N672" s="1"/>
      <c r="O672" s="1" t="str">
        <f t="shared" si="1"/>
        <v> = 'B16003_010',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2" t="s">
        <v>10</v>
      </c>
      <c r="B673" s="1"/>
      <c r="C673" s="7" t="s">
        <v>1158</v>
      </c>
      <c r="D673" s="7" t="s">
        <v>1159</v>
      </c>
      <c r="E673" s="7" t="s">
        <v>2367</v>
      </c>
      <c r="F673" s="3" t="str">
        <f>IFERROR(__xludf.DUMMYFUNCTION("REGEXREPLACE(E673, ""[^A-Za-z0-9]"", """")"),"AgebyLanguageSpokenatHomeforthePopulation5YearsandOverinLimitedEnglishSpeakingHouseholds")</f>
        <v>AgebyLanguageSpokenatHomeforthePopulation5YearsandOverinLimitedEnglishSpeakingHouseholds</v>
      </c>
      <c r="G673" s="7"/>
      <c r="H673" s="7" t="s">
        <v>2406</v>
      </c>
      <c r="I673" s="1" t="s">
        <v>2407</v>
      </c>
      <c r="J673" s="7" t="s">
        <v>2408</v>
      </c>
      <c r="K673" s="1"/>
      <c r="L673" s="1" t="s">
        <v>2409</v>
      </c>
      <c r="M673" s="1"/>
      <c r="N673" s="1"/>
      <c r="O673" s="1" t="str">
        <f t="shared" si="1"/>
        <v> = 'B16003_011',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2" t="s">
        <v>10</v>
      </c>
      <c r="B674" s="1"/>
      <c r="C674" s="7" t="s">
        <v>1158</v>
      </c>
      <c r="D674" s="7" t="s">
        <v>1159</v>
      </c>
      <c r="E674" s="7" t="s">
        <v>2367</v>
      </c>
      <c r="F674" s="3" t="str">
        <f>IFERROR(__xludf.DUMMYFUNCTION("REGEXREPLACE(E674, ""[^A-Za-z0-9]"", """")"),"AgebyLanguageSpokenatHomeforthePopulation5YearsandOverinLimitedEnglishSpeakingHouseholds")</f>
        <v>AgebyLanguageSpokenatHomeforthePopulation5YearsandOverinLimitedEnglishSpeakingHouseholds</v>
      </c>
      <c r="G674" s="7"/>
      <c r="H674" s="7" t="s">
        <v>2410</v>
      </c>
      <c r="I674" s="1" t="s">
        <v>2411</v>
      </c>
      <c r="J674" s="7" t="s">
        <v>2412</v>
      </c>
      <c r="K674" s="1"/>
      <c r="L674" s="1" t="s">
        <v>2413</v>
      </c>
      <c r="M674" s="1"/>
      <c r="N674" s="1"/>
      <c r="O674" s="1" t="str">
        <f t="shared" si="1"/>
        <v> = 'B16003_012',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2" t="s">
        <v>10</v>
      </c>
      <c r="B675" s="1"/>
      <c r="C675" s="7" t="s">
        <v>613</v>
      </c>
      <c r="D675" s="7" t="s">
        <v>1159</v>
      </c>
      <c r="E675" s="7" t="s">
        <v>2414</v>
      </c>
      <c r="F675" s="3" t="str">
        <f>IFERROR(__xludf.DUMMYFUNCTION("REGEXREPLACE(E675, ""[^A-Za-z0-9]"", """")"),"AgebyLanguageSpokenatHomebyAbilitytoSpeakEnglishforthePopulation5YearsandOver")</f>
        <v>AgebyLanguageSpokenatHomebyAbilitytoSpeakEnglishforthePopulation5YearsandOver</v>
      </c>
      <c r="G675" s="7"/>
      <c r="H675" s="7" t="s">
        <v>16</v>
      </c>
      <c r="I675" s="1" t="s">
        <v>2415</v>
      </c>
      <c r="J675" s="7" t="s">
        <v>2416</v>
      </c>
      <c r="K675" s="1"/>
      <c r="L675" s="1" t="s">
        <v>20</v>
      </c>
      <c r="M675" s="1"/>
      <c r="N675" s="1"/>
      <c r="O675" s="1" t="str">
        <f t="shared" si="1"/>
        <v> = 'B16004_001',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2" t="s">
        <v>10</v>
      </c>
      <c r="B676" s="1"/>
      <c r="C676" s="7" t="s">
        <v>613</v>
      </c>
      <c r="D676" s="7" t="s">
        <v>1159</v>
      </c>
      <c r="E676" s="7" t="s">
        <v>2414</v>
      </c>
      <c r="F676" s="3" t="str">
        <f>IFERROR(__xludf.DUMMYFUNCTION("REGEXREPLACE(E676, ""[^A-Za-z0-9]"", """")"),"AgebyLanguageSpokenatHomebyAbilitytoSpeakEnglishforthePopulation5YearsandOver")</f>
        <v>AgebyLanguageSpokenatHomebyAbilitytoSpeakEnglishforthePopulation5YearsandOver</v>
      </c>
      <c r="G676" s="7"/>
      <c r="H676" s="7" t="s">
        <v>2370</v>
      </c>
      <c r="I676" s="1" t="s">
        <v>2417</v>
      </c>
      <c r="J676" s="7" t="s">
        <v>2418</v>
      </c>
      <c r="K676" s="1"/>
      <c r="L676" s="1" t="s">
        <v>2373</v>
      </c>
      <c r="M676" s="1"/>
      <c r="N676" s="1"/>
      <c r="O676" s="1" t="str">
        <f t="shared" si="1"/>
        <v> = 'B16004_002',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2" t="s">
        <v>10</v>
      </c>
      <c r="B677" s="1"/>
      <c r="C677" s="7" t="s">
        <v>613</v>
      </c>
      <c r="D677" s="7" t="s">
        <v>1159</v>
      </c>
      <c r="E677" s="7" t="s">
        <v>2414</v>
      </c>
      <c r="F677" s="3" t="str">
        <f>IFERROR(__xludf.DUMMYFUNCTION("REGEXREPLACE(E677, ""[^A-Za-z0-9]"", """")"),"AgebyLanguageSpokenatHomebyAbilitytoSpeakEnglishforthePopulation5YearsandOver")</f>
        <v>AgebyLanguageSpokenatHomebyAbilitytoSpeakEnglishforthePopulation5YearsandOver</v>
      </c>
      <c r="G677" s="7"/>
      <c r="H677" s="7" t="s">
        <v>2374</v>
      </c>
      <c r="I677" s="1" t="s">
        <v>2419</v>
      </c>
      <c r="J677" s="7" t="s">
        <v>2420</v>
      </c>
      <c r="K677" s="1"/>
      <c r="L677" s="1" t="s">
        <v>2377</v>
      </c>
      <c r="M677" s="1"/>
      <c r="N677" s="1"/>
      <c r="O677" s="1" t="str">
        <f t="shared" si="1"/>
        <v> = 'B16004_003',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2" t="s">
        <v>10</v>
      </c>
      <c r="B678" s="1"/>
      <c r="C678" s="7" t="s">
        <v>613</v>
      </c>
      <c r="D678" s="7" t="s">
        <v>1159</v>
      </c>
      <c r="E678" s="7" t="s">
        <v>2414</v>
      </c>
      <c r="F678" s="3" t="str">
        <f>IFERROR(__xludf.DUMMYFUNCTION("REGEXREPLACE(E678, ""[^A-Za-z0-9]"", """")"),"AgebyLanguageSpokenatHomebyAbilitytoSpeakEnglishforthePopulation5YearsandOver")</f>
        <v>AgebyLanguageSpokenatHomebyAbilitytoSpeakEnglishforthePopulation5YearsandOver</v>
      </c>
      <c r="G678" s="7"/>
      <c r="H678" s="7" t="s">
        <v>2421</v>
      </c>
      <c r="I678" s="1" t="s">
        <v>2422</v>
      </c>
      <c r="J678" s="7" t="s">
        <v>2423</v>
      </c>
      <c r="K678" s="1"/>
      <c r="L678" s="1" t="s">
        <v>2424</v>
      </c>
      <c r="M678" s="1"/>
      <c r="N678" s="1"/>
      <c r="O678" s="1" t="str">
        <f t="shared" si="1"/>
        <v> = 'B16004_004',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2" t="s">
        <v>10</v>
      </c>
      <c r="B679" s="1"/>
      <c r="C679" s="7" t="s">
        <v>613</v>
      </c>
      <c r="D679" s="7" t="s">
        <v>1159</v>
      </c>
      <c r="E679" s="7" t="s">
        <v>2414</v>
      </c>
      <c r="F679" s="3" t="str">
        <f>IFERROR(__xludf.DUMMYFUNCTION("REGEXREPLACE(E679, ""[^A-Za-z0-9]"", """")"),"AgebyLanguageSpokenatHomebyAbilitytoSpeakEnglishforthePopulation5YearsandOver")</f>
        <v>AgebyLanguageSpokenatHomebyAbilitytoSpeakEnglishforthePopulation5YearsandOver</v>
      </c>
      <c r="G679" s="7"/>
      <c r="H679" s="7" t="s">
        <v>2425</v>
      </c>
      <c r="I679" s="1" t="s">
        <v>2426</v>
      </c>
      <c r="J679" s="7" t="s">
        <v>2427</v>
      </c>
      <c r="K679" s="1"/>
      <c r="L679" s="1" t="s">
        <v>2428</v>
      </c>
      <c r="M679" s="1"/>
      <c r="N679" s="1"/>
      <c r="O679" s="1" t="str">
        <f t="shared" si="1"/>
        <v> = 'B16004_005',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2" t="s">
        <v>10</v>
      </c>
      <c r="B680" s="1"/>
      <c r="C680" s="7" t="s">
        <v>613</v>
      </c>
      <c r="D680" s="7" t="s">
        <v>1159</v>
      </c>
      <c r="E680" s="7" t="s">
        <v>2414</v>
      </c>
      <c r="F680" s="3" t="str">
        <f>IFERROR(__xludf.DUMMYFUNCTION("REGEXREPLACE(E680, ""[^A-Za-z0-9]"", """")"),"AgebyLanguageSpokenatHomebyAbilitytoSpeakEnglishforthePopulation5YearsandOver")</f>
        <v>AgebyLanguageSpokenatHomebyAbilitytoSpeakEnglishforthePopulation5YearsandOver</v>
      </c>
      <c r="G680" s="7"/>
      <c r="H680" s="7" t="s">
        <v>2429</v>
      </c>
      <c r="I680" s="1" t="s">
        <v>2430</v>
      </c>
      <c r="J680" s="7" t="s">
        <v>2431</v>
      </c>
      <c r="K680" s="1"/>
      <c r="L680" s="1" t="s">
        <v>2432</v>
      </c>
      <c r="M680" s="1"/>
      <c r="N680" s="1"/>
      <c r="O680" s="1" t="str">
        <f t="shared" si="1"/>
        <v> = 'B16004_006',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2" t="s">
        <v>10</v>
      </c>
      <c r="B681" s="1"/>
      <c r="C681" s="7" t="s">
        <v>613</v>
      </c>
      <c r="D681" s="7" t="s">
        <v>1159</v>
      </c>
      <c r="E681" s="7" t="s">
        <v>2414</v>
      </c>
      <c r="F681" s="3" t="str">
        <f>IFERROR(__xludf.DUMMYFUNCTION("REGEXREPLACE(E681, ""[^A-Za-z0-9]"", """")"),"AgebyLanguageSpokenatHomebyAbilitytoSpeakEnglishforthePopulation5YearsandOver")</f>
        <v>AgebyLanguageSpokenatHomebyAbilitytoSpeakEnglishforthePopulation5YearsandOver</v>
      </c>
      <c r="G681" s="7"/>
      <c r="H681" s="7" t="s">
        <v>2433</v>
      </c>
      <c r="I681" s="1" t="s">
        <v>2434</v>
      </c>
      <c r="J681" s="7" t="s">
        <v>2435</v>
      </c>
      <c r="K681" s="1"/>
      <c r="L681" s="1" t="s">
        <v>2436</v>
      </c>
      <c r="M681" s="1"/>
      <c r="N681" s="1"/>
      <c r="O681" s="1" t="str">
        <f t="shared" si="1"/>
        <v> = 'B16004_007',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2" t="s">
        <v>10</v>
      </c>
      <c r="B682" s="1"/>
      <c r="C682" s="7" t="s">
        <v>613</v>
      </c>
      <c r="D682" s="7" t="s">
        <v>1159</v>
      </c>
      <c r="E682" s="7" t="s">
        <v>2414</v>
      </c>
      <c r="F682" s="3" t="str">
        <f>IFERROR(__xludf.DUMMYFUNCTION("REGEXREPLACE(E682, ""[^A-Za-z0-9]"", """")"),"AgebyLanguageSpokenatHomebyAbilitytoSpeakEnglishforthePopulation5YearsandOver")</f>
        <v>AgebyLanguageSpokenatHomebyAbilitytoSpeakEnglishforthePopulation5YearsandOver</v>
      </c>
      <c r="G682" s="7"/>
      <c r="H682" s="7" t="s">
        <v>2437</v>
      </c>
      <c r="I682" s="1" t="s">
        <v>2438</v>
      </c>
      <c r="J682" s="7" t="s">
        <v>2439</v>
      </c>
      <c r="K682" s="1"/>
      <c r="L682" s="1" t="s">
        <v>2440</v>
      </c>
      <c r="M682" s="1"/>
      <c r="N682" s="1"/>
      <c r="O682" s="1" t="str">
        <f t="shared" si="1"/>
        <v> = 'B16004_008',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2" t="s">
        <v>10</v>
      </c>
      <c r="B683" s="1"/>
      <c r="C683" s="7" t="s">
        <v>613</v>
      </c>
      <c r="D683" s="7" t="s">
        <v>1159</v>
      </c>
      <c r="E683" s="7" t="s">
        <v>2414</v>
      </c>
      <c r="F683" s="3" t="str">
        <f>IFERROR(__xludf.DUMMYFUNCTION("REGEXREPLACE(E683, ""[^A-Za-z0-9]"", """")"),"AgebyLanguageSpokenatHomebyAbilitytoSpeakEnglishforthePopulation5YearsandOver")</f>
        <v>AgebyLanguageSpokenatHomebyAbilitytoSpeakEnglishforthePopulation5YearsandOver</v>
      </c>
      <c r="G683" s="7"/>
      <c r="H683" s="7" t="s">
        <v>2441</v>
      </c>
      <c r="I683" s="1" t="s">
        <v>2442</v>
      </c>
      <c r="J683" s="7" t="s">
        <v>2443</v>
      </c>
      <c r="K683" s="1"/>
      <c r="L683" s="1" t="s">
        <v>2444</v>
      </c>
      <c r="M683" s="1"/>
      <c r="N683" s="1"/>
      <c r="O683" s="1" t="str">
        <f t="shared" si="1"/>
        <v> = 'B16004_009',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2" t="s">
        <v>10</v>
      </c>
      <c r="B684" s="1"/>
      <c r="C684" s="7" t="s">
        <v>613</v>
      </c>
      <c r="D684" s="7" t="s">
        <v>1159</v>
      </c>
      <c r="E684" s="7" t="s">
        <v>2414</v>
      </c>
      <c r="F684" s="3" t="str">
        <f>IFERROR(__xludf.DUMMYFUNCTION("REGEXREPLACE(E684, ""[^A-Za-z0-9]"", """")"),"AgebyLanguageSpokenatHomebyAbilitytoSpeakEnglishforthePopulation5YearsandOver")</f>
        <v>AgebyLanguageSpokenatHomebyAbilitytoSpeakEnglishforthePopulation5YearsandOver</v>
      </c>
      <c r="G684" s="7"/>
      <c r="H684" s="7" t="s">
        <v>2445</v>
      </c>
      <c r="I684" s="1" t="s">
        <v>2446</v>
      </c>
      <c r="J684" s="7" t="s">
        <v>2447</v>
      </c>
      <c r="K684" s="1"/>
      <c r="L684" s="1" t="s">
        <v>2448</v>
      </c>
      <c r="M684" s="1"/>
      <c r="N684" s="1"/>
      <c r="O684" s="1" t="str">
        <f t="shared" si="1"/>
        <v> = 'B16004_010',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2" t="s">
        <v>10</v>
      </c>
      <c r="B685" s="1"/>
      <c r="C685" s="7" t="s">
        <v>613</v>
      </c>
      <c r="D685" s="7" t="s">
        <v>1159</v>
      </c>
      <c r="E685" s="7" t="s">
        <v>2414</v>
      </c>
      <c r="F685" s="3" t="str">
        <f>IFERROR(__xludf.DUMMYFUNCTION("REGEXREPLACE(E685, ""[^A-Za-z0-9]"", """")"),"AgebyLanguageSpokenatHomebyAbilitytoSpeakEnglishforthePopulation5YearsandOver")</f>
        <v>AgebyLanguageSpokenatHomebyAbilitytoSpeakEnglishforthePopulation5YearsandOver</v>
      </c>
      <c r="G685" s="7"/>
      <c r="H685" s="7" t="s">
        <v>2449</v>
      </c>
      <c r="I685" s="1" t="s">
        <v>2450</v>
      </c>
      <c r="J685" s="7" t="s">
        <v>2451</v>
      </c>
      <c r="K685" s="1"/>
      <c r="L685" s="1" t="s">
        <v>2452</v>
      </c>
      <c r="M685" s="1"/>
      <c r="N685" s="1"/>
      <c r="O685" s="1" t="str">
        <f t="shared" si="1"/>
        <v> = 'B16004_011',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2" t="s">
        <v>10</v>
      </c>
      <c r="B686" s="1"/>
      <c r="C686" s="7" t="s">
        <v>613</v>
      </c>
      <c r="D686" s="7" t="s">
        <v>1159</v>
      </c>
      <c r="E686" s="7" t="s">
        <v>2414</v>
      </c>
      <c r="F686" s="3" t="str">
        <f>IFERROR(__xludf.DUMMYFUNCTION("REGEXREPLACE(E686, ""[^A-Za-z0-9]"", """")"),"AgebyLanguageSpokenatHomebyAbilitytoSpeakEnglishforthePopulation5YearsandOver")</f>
        <v>AgebyLanguageSpokenatHomebyAbilitytoSpeakEnglishforthePopulation5YearsandOver</v>
      </c>
      <c r="G686" s="7"/>
      <c r="H686" s="7" t="s">
        <v>2453</v>
      </c>
      <c r="I686" s="1" t="s">
        <v>2454</v>
      </c>
      <c r="J686" s="7" t="s">
        <v>2455</v>
      </c>
      <c r="K686" s="1"/>
      <c r="L686" s="1" t="s">
        <v>2456</v>
      </c>
      <c r="M686" s="1"/>
      <c r="N686" s="1"/>
      <c r="O686" s="1" t="str">
        <f t="shared" si="1"/>
        <v> = 'B16004_012',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2" t="s">
        <v>10</v>
      </c>
      <c r="B687" s="1"/>
      <c r="C687" s="7" t="s">
        <v>613</v>
      </c>
      <c r="D687" s="7" t="s">
        <v>1159</v>
      </c>
      <c r="E687" s="7" t="s">
        <v>2414</v>
      </c>
      <c r="F687" s="3" t="str">
        <f>IFERROR(__xludf.DUMMYFUNCTION("REGEXREPLACE(E687, ""[^A-Za-z0-9]"", """")"),"AgebyLanguageSpokenatHomebyAbilitytoSpeakEnglishforthePopulation5YearsandOver")</f>
        <v>AgebyLanguageSpokenatHomebyAbilitytoSpeakEnglishforthePopulation5YearsandOver</v>
      </c>
      <c r="G687" s="7"/>
      <c r="H687" s="7" t="s">
        <v>2457</v>
      </c>
      <c r="I687" s="1" t="s">
        <v>2458</v>
      </c>
      <c r="J687" s="7" t="s">
        <v>2459</v>
      </c>
      <c r="K687" s="1"/>
      <c r="L687" s="1" t="s">
        <v>2460</v>
      </c>
      <c r="M687" s="1"/>
      <c r="N687" s="1"/>
      <c r="O687" s="1" t="str">
        <f t="shared" si="1"/>
        <v> = 'B16004_013',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2" t="s">
        <v>10</v>
      </c>
      <c r="B688" s="1"/>
      <c r="C688" s="7" t="s">
        <v>613</v>
      </c>
      <c r="D688" s="7" t="s">
        <v>1159</v>
      </c>
      <c r="E688" s="7" t="s">
        <v>2414</v>
      </c>
      <c r="F688" s="3" t="str">
        <f>IFERROR(__xludf.DUMMYFUNCTION("REGEXREPLACE(E688, ""[^A-Za-z0-9]"", """")"),"AgebyLanguageSpokenatHomebyAbilitytoSpeakEnglishforthePopulation5YearsandOver")</f>
        <v>AgebyLanguageSpokenatHomebyAbilitytoSpeakEnglishforthePopulation5YearsandOver</v>
      </c>
      <c r="G688" s="7"/>
      <c r="H688" s="7" t="s">
        <v>2461</v>
      </c>
      <c r="I688" s="1" t="s">
        <v>2462</v>
      </c>
      <c r="J688" s="7" t="s">
        <v>2463</v>
      </c>
      <c r="K688" s="1"/>
      <c r="L688" s="1" t="s">
        <v>2464</v>
      </c>
      <c r="M688" s="1"/>
      <c r="N688" s="1"/>
      <c r="O688" s="1" t="str">
        <f t="shared" si="1"/>
        <v> = 'B16004_014',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2" t="s">
        <v>10</v>
      </c>
      <c r="B689" s="1"/>
      <c r="C689" s="7" t="s">
        <v>613</v>
      </c>
      <c r="D689" s="7" t="s">
        <v>1159</v>
      </c>
      <c r="E689" s="7" t="s">
        <v>2414</v>
      </c>
      <c r="F689" s="3" t="str">
        <f>IFERROR(__xludf.DUMMYFUNCTION("REGEXREPLACE(E689, ""[^A-Za-z0-9]"", """")"),"AgebyLanguageSpokenatHomebyAbilitytoSpeakEnglishforthePopulation5YearsandOver")</f>
        <v>AgebyLanguageSpokenatHomebyAbilitytoSpeakEnglishforthePopulation5YearsandOver</v>
      </c>
      <c r="G689" s="7"/>
      <c r="H689" s="7" t="s">
        <v>2465</v>
      </c>
      <c r="I689" s="1" t="s">
        <v>2466</v>
      </c>
      <c r="J689" s="7" t="s">
        <v>2467</v>
      </c>
      <c r="K689" s="1"/>
      <c r="L689" s="1" t="s">
        <v>2468</v>
      </c>
      <c r="M689" s="1"/>
      <c r="N689" s="1"/>
      <c r="O689" s="1" t="str">
        <f t="shared" si="1"/>
        <v> = 'B16004_015',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2" t="s">
        <v>10</v>
      </c>
      <c r="B690" s="1"/>
      <c r="C690" s="7" t="s">
        <v>613</v>
      </c>
      <c r="D690" s="7" t="s">
        <v>1159</v>
      </c>
      <c r="E690" s="7" t="s">
        <v>2414</v>
      </c>
      <c r="F690" s="3" t="str">
        <f>IFERROR(__xludf.DUMMYFUNCTION("REGEXREPLACE(E690, ""[^A-Za-z0-9]"", """")"),"AgebyLanguageSpokenatHomebyAbilitytoSpeakEnglishforthePopulation5YearsandOver")</f>
        <v>AgebyLanguageSpokenatHomebyAbilitytoSpeakEnglishforthePopulation5YearsandOver</v>
      </c>
      <c r="G690" s="7"/>
      <c r="H690" s="7" t="s">
        <v>2469</v>
      </c>
      <c r="I690" s="1" t="s">
        <v>2470</v>
      </c>
      <c r="J690" s="7" t="s">
        <v>2471</v>
      </c>
      <c r="K690" s="1"/>
      <c r="L690" s="1" t="s">
        <v>2472</v>
      </c>
      <c r="M690" s="1"/>
      <c r="N690" s="1"/>
      <c r="O690" s="1" t="str">
        <f t="shared" si="1"/>
        <v> = 'B16004_016',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2" t="s">
        <v>10</v>
      </c>
      <c r="B691" s="1"/>
      <c r="C691" s="7" t="s">
        <v>613</v>
      </c>
      <c r="D691" s="7" t="s">
        <v>1159</v>
      </c>
      <c r="E691" s="7" t="s">
        <v>2414</v>
      </c>
      <c r="F691" s="3" t="str">
        <f>IFERROR(__xludf.DUMMYFUNCTION("REGEXREPLACE(E691, ""[^A-Za-z0-9]"", """")"),"AgebyLanguageSpokenatHomebyAbilitytoSpeakEnglishforthePopulation5YearsandOver")</f>
        <v>AgebyLanguageSpokenatHomebyAbilitytoSpeakEnglishforthePopulation5YearsandOver</v>
      </c>
      <c r="G691" s="7"/>
      <c r="H691" s="7" t="s">
        <v>2473</v>
      </c>
      <c r="I691" s="1" t="s">
        <v>2474</v>
      </c>
      <c r="J691" s="7" t="s">
        <v>2475</v>
      </c>
      <c r="K691" s="1"/>
      <c r="L691" s="1" t="s">
        <v>2476</v>
      </c>
      <c r="M691" s="1"/>
      <c r="N691" s="1"/>
      <c r="O691" s="1" t="str">
        <f t="shared" si="1"/>
        <v> = 'B16004_017',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2" t="s">
        <v>10</v>
      </c>
      <c r="B692" s="1"/>
      <c r="C692" s="7" t="s">
        <v>613</v>
      </c>
      <c r="D692" s="7" t="s">
        <v>1159</v>
      </c>
      <c r="E692" s="7" t="s">
        <v>2414</v>
      </c>
      <c r="F692" s="3" t="str">
        <f>IFERROR(__xludf.DUMMYFUNCTION("REGEXREPLACE(E692, ""[^A-Za-z0-9]"", """")"),"AgebyLanguageSpokenatHomebyAbilitytoSpeakEnglishforthePopulation5YearsandOver")</f>
        <v>AgebyLanguageSpokenatHomebyAbilitytoSpeakEnglishforthePopulation5YearsandOver</v>
      </c>
      <c r="G692" s="7"/>
      <c r="H692" s="7" t="s">
        <v>2477</v>
      </c>
      <c r="I692" s="1" t="s">
        <v>2478</v>
      </c>
      <c r="J692" s="7" t="s">
        <v>2479</v>
      </c>
      <c r="K692" s="1"/>
      <c r="L692" s="1" t="s">
        <v>2480</v>
      </c>
      <c r="M692" s="1"/>
      <c r="N692" s="1"/>
      <c r="O692" s="1" t="str">
        <f t="shared" si="1"/>
        <v> = 'B16004_018',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2" t="s">
        <v>10</v>
      </c>
      <c r="B693" s="1"/>
      <c r="C693" s="7" t="s">
        <v>613</v>
      </c>
      <c r="D693" s="7" t="s">
        <v>1159</v>
      </c>
      <c r="E693" s="7" t="s">
        <v>2414</v>
      </c>
      <c r="F693" s="3" t="str">
        <f>IFERROR(__xludf.DUMMYFUNCTION("REGEXREPLACE(E693, ""[^A-Za-z0-9]"", """")"),"AgebyLanguageSpokenatHomebyAbilitytoSpeakEnglishforthePopulation5YearsandOver")</f>
        <v>AgebyLanguageSpokenatHomebyAbilitytoSpeakEnglishforthePopulation5YearsandOver</v>
      </c>
      <c r="G693" s="7"/>
      <c r="H693" s="7" t="s">
        <v>2481</v>
      </c>
      <c r="I693" s="1" t="s">
        <v>2482</v>
      </c>
      <c r="J693" s="7" t="s">
        <v>2483</v>
      </c>
      <c r="K693" s="1"/>
      <c r="L693" s="1" t="s">
        <v>2484</v>
      </c>
      <c r="M693" s="1"/>
      <c r="N693" s="1"/>
      <c r="O693" s="1" t="str">
        <f t="shared" si="1"/>
        <v> = 'B16004_019',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2" t="s">
        <v>10</v>
      </c>
      <c r="B694" s="1"/>
      <c r="C694" s="7" t="s">
        <v>613</v>
      </c>
      <c r="D694" s="7" t="s">
        <v>1159</v>
      </c>
      <c r="E694" s="7" t="s">
        <v>2414</v>
      </c>
      <c r="F694" s="3" t="str">
        <f>IFERROR(__xludf.DUMMYFUNCTION("REGEXREPLACE(E694, ""[^A-Za-z0-9]"", """")"),"AgebyLanguageSpokenatHomebyAbilitytoSpeakEnglishforthePopulation5YearsandOver")</f>
        <v>AgebyLanguageSpokenatHomebyAbilitytoSpeakEnglishforthePopulation5YearsandOver</v>
      </c>
      <c r="G694" s="7"/>
      <c r="H694" s="7" t="s">
        <v>2485</v>
      </c>
      <c r="I694" s="1" t="s">
        <v>2486</v>
      </c>
      <c r="J694" s="7" t="s">
        <v>2487</v>
      </c>
      <c r="K694" s="1"/>
      <c r="L694" s="1" t="s">
        <v>2488</v>
      </c>
      <c r="M694" s="1"/>
      <c r="N694" s="1"/>
      <c r="O694" s="1" t="str">
        <f t="shared" si="1"/>
        <v> = 'B16004_020',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2" t="s">
        <v>10</v>
      </c>
      <c r="B695" s="1"/>
      <c r="C695" s="7" t="s">
        <v>613</v>
      </c>
      <c r="D695" s="7" t="s">
        <v>1159</v>
      </c>
      <c r="E695" s="7" t="s">
        <v>2414</v>
      </c>
      <c r="F695" s="3" t="str">
        <f>IFERROR(__xludf.DUMMYFUNCTION("REGEXREPLACE(E695, ""[^A-Za-z0-9]"", """")"),"AgebyLanguageSpokenatHomebyAbilitytoSpeakEnglishforthePopulation5YearsandOver")</f>
        <v>AgebyLanguageSpokenatHomebyAbilitytoSpeakEnglishforthePopulation5YearsandOver</v>
      </c>
      <c r="G695" s="7"/>
      <c r="H695" s="7" t="s">
        <v>2489</v>
      </c>
      <c r="I695" s="1" t="s">
        <v>2490</v>
      </c>
      <c r="J695" s="7" t="s">
        <v>2491</v>
      </c>
      <c r="K695" s="1"/>
      <c r="L695" s="1" t="s">
        <v>2492</v>
      </c>
      <c r="M695" s="1"/>
      <c r="N695" s="1"/>
      <c r="O695" s="1" t="str">
        <f t="shared" si="1"/>
        <v> = 'B16004_021',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2" t="s">
        <v>10</v>
      </c>
      <c r="B696" s="1"/>
      <c r="C696" s="7" t="s">
        <v>613</v>
      </c>
      <c r="D696" s="7" t="s">
        <v>1159</v>
      </c>
      <c r="E696" s="7" t="s">
        <v>2414</v>
      </c>
      <c r="F696" s="3" t="str">
        <f>IFERROR(__xludf.DUMMYFUNCTION("REGEXREPLACE(E696, ""[^A-Za-z0-9]"", """")"),"AgebyLanguageSpokenatHomebyAbilitytoSpeakEnglishforthePopulation5YearsandOver")</f>
        <v>AgebyLanguageSpokenatHomebyAbilitytoSpeakEnglishforthePopulation5YearsandOver</v>
      </c>
      <c r="G696" s="7"/>
      <c r="H696" s="7" t="s">
        <v>2493</v>
      </c>
      <c r="I696" s="1" t="s">
        <v>2494</v>
      </c>
      <c r="J696" s="7" t="s">
        <v>2495</v>
      </c>
      <c r="K696" s="1"/>
      <c r="L696" s="1" t="s">
        <v>2496</v>
      </c>
      <c r="M696" s="1"/>
      <c r="N696" s="1"/>
      <c r="O696" s="1" t="str">
        <f t="shared" si="1"/>
        <v> = 'B16004_022',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2" t="s">
        <v>10</v>
      </c>
      <c r="B697" s="1"/>
      <c r="C697" s="7" t="s">
        <v>613</v>
      </c>
      <c r="D697" s="7" t="s">
        <v>1159</v>
      </c>
      <c r="E697" s="7" t="s">
        <v>2414</v>
      </c>
      <c r="F697" s="3" t="str">
        <f>IFERROR(__xludf.DUMMYFUNCTION("REGEXREPLACE(E697, ""[^A-Za-z0-9]"", """")"),"AgebyLanguageSpokenatHomebyAbilitytoSpeakEnglishforthePopulation5YearsandOver")</f>
        <v>AgebyLanguageSpokenatHomebyAbilitytoSpeakEnglishforthePopulation5YearsandOver</v>
      </c>
      <c r="G697" s="7"/>
      <c r="H697" s="7" t="s">
        <v>2497</v>
      </c>
      <c r="I697" s="1" t="s">
        <v>2498</v>
      </c>
      <c r="J697" s="7" t="s">
        <v>2499</v>
      </c>
      <c r="K697" s="1"/>
      <c r="L697" s="1" t="s">
        <v>2500</v>
      </c>
      <c r="M697" s="1"/>
      <c r="N697" s="1"/>
      <c r="O697" s="1" t="str">
        <f t="shared" si="1"/>
        <v> = 'B16004_023',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2" t="s">
        <v>10</v>
      </c>
      <c r="B698" s="1"/>
      <c r="C698" s="7" t="s">
        <v>613</v>
      </c>
      <c r="D698" s="7" t="s">
        <v>1159</v>
      </c>
      <c r="E698" s="7" t="s">
        <v>2414</v>
      </c>
      <c r="F698" s="3" t="str">
        <f>IFERROR(__xludf.DUMMYFUNCTION("REGEXREPLACE(E698, ""[^A-Za-z0-9]"", """")"),"AgebyLanguageSpokenatHomebyAbilitytoSpeakEnglishforthePopulation5YearsandOver")</f>
        <v>AgebyLanguageSpokenatHomebyAbilitytoSpeakEnglishforthePopulation5YearsandOver</v>
      </c>
      <c r="G698" s="7"/>
      <c r="H698" s="7" t="s">
        <v>763</v>
      </c>
      <c r="I698" s="1" t="s">
        <v>2501</v>
      </c>
      <c r="J698" s="7" t="s">
        <v>2502</v>
      </c>
      <c r="K698" s="1"/>
      <c r="L698" s="1" t="s">
        <v>766</v>
      </c>
      <c r="M698" s="1"/>
      <c r="N698" s="1"/>
      <c r="O698" s="1" t="str">
        <f t="shared" si="1"/>
        <v> = 'B16004_024',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2" t="s">
        <v>10</v>
      </c>
      <c r="B699" s="1"/>
      <c r="C699" s="7" t="s">
        <v>613</v>
      </c>
      <c r="D699" s="7" t="s">
        <v>1159</v>
      </c>
      <c r="E699" s="7" t="s">
        <v>2414</v>
      </c>
      <c r="F699" s="3" t="str">
        <f>IFERROR(__xludf.DUMMYFUNCTION("REGEXREPLACE(E699, ""[^A-Za-z0-9]"", """")"),"AgebyLanguageSpokenatHomebyAbilitytoSpeakEnglishforthePopulation5YearsandOver")</f>
        <v>AgebyLanguageSpokenatHomebyAbilitytoSpeakEnglishforthePopulation5YearsandOver</v>
      </c>
      <c r="G699" s="7"/>
      <c r="H699" s="7" t="s">
        <v>2503</v>
      </c>
      <c r="I699" s="1" t="s">
        <v>2504</v>
      </c>
      <c r="J699" s="7" t="s">
        <v>2505</v>
      </c>
      <c r="K699" s="1"/>
      <c r="L699" s="1" t="s">
        <v>2506</v>
      </c>
      <c r="M699" s="1"/>
      <c r="N699" s="1"/>
      <c r="O699" s="1" t="str">
        <f t="shared" si="1"/>
        <v> = 'B16004_025',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2" t="s">
        <v>10</v>
      </c>
      <c r="B700" s="1"/>
      <c r="C700" s="7" t="s">
        <v>613</v>
      </c>
      <c r="D700" s="7" t="s">
        <v>1159</v>
      </c>
      <c r="E700" s="7" t="s">
        <v>2414</v>
      </c>
      <c r="F700" s="3" t="str">
        <f>IFERROR(__xludf.DUMMYFUNCTION("REGEXREPLACE(E700, ""[^A-Za-z0-9]"", """")"),"AgebyLanguageSpokenatHomebyAbilitytoSpeakEnglishforthePopulation5YearsandOver")</f>
        <v>AgebyLanguageSpokenatHomebyAbilitytoSpeakEnglishforthePopulation5YearsandOver</v>
      </c>
      <c r="G700" s="7"/>
      <c r="H700" s="7" t="s">
        <v>2507</v>
      </c>
      <c r="I700" s="1" t="s">
        <v>2508</v>
      </c>
      <c r="J700" s="7" t="s">
        <v>2509</v>
      </c>
      <c r="K700" s="1"/>
      <c r="L700" s="1" t="s">
        <v>2510</v>
      </c>
      <c r="M700" s="1"/>
      <c r="N700" s="1"/>
      <c r="O700" s="1" t="str">
        <f t="shared" si="1"/>
        <v> = 'B16004_026',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2" t="s">
        <v>10</v>
      </c>
      <c r="B701" s="1"/>
      <c r="C701" s="7" t="s">
        <v>613</v>
      </c>
      <c r="D701" s="7" t="s">
        <v>1159</v>
      </c>
      <c r="E701" s="7" t="s">
        <v>2414</v>
      </c>
      <c r="F701" s="3" t="str">
        <f>IFERROR(__xludf.DUMMYFUNCTION("REGEXREPLACE(E701, ""[^A-Za-z0-9]"", """")"),"AgebyLanguageSpokenatHomebyAbilitytoSpeakEnglishforthePopulation5YearsandOver")</f>
        <v>AgebyLanguageSpokenatHomebyAbilitytoSpeakEnglishforthePopulation5YearsandOver</v>
      </c>
      <c r="G701" s="7"/>
      <c r="H701" s="7" t="s">
        <v>2511</v>
      </c>
      <c r="I701" s="1" t="s">
        <v>2512</v>
      </c>
      <c r="J701" s="7" t="s">
        <v>2513</v>
      </c>
      <c r="K701" s="1"/>
      <c r="L701" s="1" t="s">
        <v>2514</v>
      </c>
      <c r="M701" s="1"/>
      <c r="N701" s="1"/>
      <c r="O701" s="1" t="str">
        <f t="shared" si="1"/>
        <v> = 'B16004_027',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2" t="s">
        <v>10</v>
      </c>
      <c r="B702" s="1"/>
      <c r="C702" s="7" t="s">
        <v>613</v>
      </c>
      <c r="D702" s="7" t="s">
        <v>1159</v>
      </c>
      <c r="E702" s="7" t="s">
        <v>2414</v>
      </c>
      <c r="F702" s="3" t="str">
        <f>IFERROR(__xludf.DUMMYFUNCTION("REGEXREPLACE(E702, ""[^A-Za-z0-9]"", """")"),"AgebyLanguageSpokenatHomebyAbilitytoSpeakEnglishforthePopulation5YearsandOver")</f>
        <v>AgebyLanguageSpokenatHomebyAbilitytoSpeakEnglishforthePopulation5YearsandOver</v>
      </c>
      <c r="G702" s="7"/>
      <c r="H702" s="7" t="s">
        <v>2515</v>
      </c>
      <c r="I702" s="1" t="s">
        <v>2516</v>
      </c>
      <c r="J702" s="7" t="s">
        <v>2517</v>
      </c>
      <c r="K702" s="1"/>
      <c r="L702" s="1" t="s">
        <v>2518</v>
      </c>
      <c r="M702" s="1"/>
      <c r="N702" s="1"/>
      <c r="O702" s="1" t="str">
        <f t="shared" si="1"/>
        <v> = 'B16004_028',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2" t="s">
        <v>10</v>
      </c>
      <c r="B703" s="1"/>
      <c r="C703" s="7" t="s">
        <v>613</v>
      </c>
      <c r="D703" s="7" t="s">
        <v>1159</v>
      </c>
      <c r="E703" s="7" t="s">
        <v>2414</v>
      </c>
      <c r="F703" s="3" t="str">
        <f>IFERROR(__xludf.DUMMYFUNCTION("REGEXREPLACE(E703, ""[^A-Za-z0-9]"", """")"),"AgebyLanguageSpokenatHomebyAbilitytoSpeakEnglishforthePopulation5YearsandOver")</f>
        <v>AgebyLanguageSpokenatHomebyAbilitytoSpeakEnglishforthePopulation5YearsandOver</v>
      </c>
      <c r="G703" s="7"/>
      <c r="H703" s="7" t="s">
        <v>2519</v>
      </c>
      <c r="I703" s="1" t="s">
        <v>2520</v>
      </c>
      <c r="J703" s="7" t="s">
        <v>2521</v>
      </c>
      <c r="K703" s="1"/>
      <c r="L703" s="1" t="s">
        <v>2522</v>
      </c>
      <c r="M703" s="1"/>
      <c r="N703" s="1"/>
      <c r="O703" s="1" t="str">
        <f t="shared" si="1"/>
        <v> = 'B16004_029',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2" t="s">
        <v>10</v>
      </c>
      <c r="B704" s="1"/>
      <c r="C704" s="7" t="s">
        <v>613</v>
      </c>
      <c r="D704" s="7" t="s">
        <v>1159</v>
      </c>
      <c r="E704" s="7" t="s">
        <v>2414</v>
      </c>
      <c r="F704" s="3" t="str">
        <f>IFERROR(__xludf.DUMMYFUNCTION("REGEXREPLACE(E704, ""[^A-Za-z0-9]"", """")"),"AgebyLanguageSpokenatHomebyAbilitytoSpeakEnglishforthePopulation5YearsandOver")</f>
        <v>AgebyLanguageSpokenatHomebyAbilitytoSpeakEnglishforthePopulation5YearsandOver</v>
      </c>
      <c r="G704" s="7"/>
      <c r="H704" s="7" t="s">
        <v>2523</v>
      </c>
      <c r="I704" s="1" t="s">
        <v>2524</v>
      </c>
      <c r="J704" s="7" t="s">
        <v>2525</v>
      </c>
      <c r="K704" s="1"/>
      <c r="L704" s="1" t="s">
        <v>2526</v>
      </c>
      <c r="M704" s="1"/>
      <c r="N704" s="1"/>
      <c r="O704" s="1" t="str">
        <f t="shared" si="1"/>
        <v> = 'B16004_030',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2" t="s">
        <v>10</v>
      </c>
      <c r="B705" s="1"/>
      <c r="C705" s="7" t="s">
        <v>613</v>
      </c>
      <c r="D705" s="7" t="s">
        <v>1159</v>
      </c>
      <c r="E705" s="7" t="s">
        <v>2414</v>
      </c>
      <c r="F705" s="3" t="str">
        <f>IFERROR(__xludf.DUMMYFUNCTION("REGEXREPLACE(E705, ""[^A-Za-z0-9]"", """")"),"AgebyLanguageSpokenatHomebyAbilitytoSpeakEnglishforthePopulation5YearsandOver")</f>
        <v>AgebyLanguageSpokenatHomebyAbilitytoSpeakEnglishforthePopulation5YearsandOver</v>
      </c>
      <c r="G705" s="7"/>
      <c r="H705" s="7" t="s">
        <v>2527</v>
      </c>
      <c r="I705" s="1" t="s">
        <v>2528</v>
      </c>
      <c r="J705" s="7" t="s">
        <v>2529</v>
      </c>
      <c r="K705" s="1"/>
      <c r="L705" s="1" t="s">
        <v>2530</v>
      </c>
      <c r="M705" s="1"/>
      <c r="N705" s="1"/>
      <c r="O705" s="1" t="str">
        <f t="shared" si="1"/>
        <v> = 'B16004_031',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2" t="s">
        <v>10</v>
      </c>
      <c r="B706" s="1"/>
      <c r="C706" s="7" t="s">
        <v>613</v>
      </c>
      <c r="D706" s="7" t="s">
        <v>1159</v>
      </c>
      <c r="E706" s="7" t="s">
        <v>2414</v>
      </c>
      <c r="F706" s="3" t="str">
        <f>IFERROR(__xludf.DUMMYFUNCTION("REGEXREPLACE(E706, ""[^A-Za-z0-9]"", """")"),"AgebyLanguageSpokenatHomebyAbilitytoSpeakEnglishforthePopulation5YearsandOver")</f>
        <v>AgebyLanguageSpokenatHomebyAbilitytoSpeakEnglishforthePopulation5YearsandOver</v>
      </c>
      <c r="G706" s="7"/>
      <c r="H706" s="7" t="s">
        <v>2531</v>
      </c>
      <c r="I706" s="1" t="s">
        <v>2532</v>
      </c>
      <c r="J706" s="7" t="s">
        <v>2533</v>
      </c>
      <c r="K706" s="1"/>
      <c r="L706" s="1" t="s">
        <v>2534</v>
      </c>
      <c r="M706" s="1"/>
      <c r="N706" s="1"/>
      <c r="O706" s="1" t="str">
        <f t="shared" si="1"/>
        <v> = 'B16004_032',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2" t="s">
        <v>10</v>
      </c>
      <c r="B707" s="1"/>
      <c r="C707" s="7" t="s">
        <v>613</v>
      </c>
      <c r="D707" s="7" t="s">
        <v>1159</v>
      </c>
      <c r="E707" s="7" t="s">
        <v>2414</v>
      </c>
      <c r="F707" s="3" t="str">
        <f>IFERROR(__xludf.DUMMYFUNCTION("REGEXREPLACE(E707, ""[^A-Za-z0-9]"", """")"),"AgebyLanguageSpokenatHomebyAbilitytoSpeakEnglishforthePopulation5YearsandOver")</f>
        <v>AgebyLanguageSpokenatHomebyAbilitytoSpeakEnglishforthePopulation5YearsandOver</v>
      </c>
      <c r="G707" s="7"/>
      <c r="H707" s="7" t="s">
        <v>2535</v>
      </c>
      <c r="I707" s="1" t="s">
        <v>2536</v>
      </c>
      <c r="J707" s="7" t="s">
        <v>2537</v>
      </c>
      <c r="K707" s="1"/>
      <c r="L707" s="1" t="s">
        <v>2538</v>
      </c>
      <c r="M707" s="1"/>
      <c r="N707" s="1"/>
      <c r="O707" s="1" t="str">
        <f t="shared" si="1"/>
        <v> = 'B16004_033',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2" t="s">
        <v>10</v>
      </c>
      <c r="B708" s="1"/>
      <c r="C708" s="7" t="s">
        <v>613</v>
      </c>
      <c r="D708" s="7" t="s">
        <v>1159</v>
      </c>
      <c r="E708" s="7" t="s">
        <v>2414</v>
      </c>
      <c r="F708" s="3" t="str">
        <f>IFERROR(__xludf.DUMMYFUNCTION("REGEXREPLACE(E708, ""[^A-Za-z0-9]"", """")"),"AgebyLanguageSpokenatHomebyAbilitytoSpeakEnglishforthePopulation5YearsandOver")</f>
        <v>AgebyLanguageSpokenatHomebyAbilitytoSpeakEnglishforthePopulation5YearsandOver</v>
      </c>
      <c r="G708" s="7"/>
      <c r="H708" s="7" t="s">
        <v>2539</v>
      </c>
      <c r="I708" s="1" t="s">
        <v>2540</v>
      </c>
      <c r="J708" s="7" t="s">
        <v>2541</v>
      </c>
      <c r="K708" s="1"/>
      <c r="L708" s="1" t="s">
        <v>2542</v>
      </c>
      <c r="M708" s="1"/>
      <c r="N708" s="1"/>
      <c r="O708" s="1" t="str">
        <f t="shared" si="1"/>
        <v> = 'B16004_034',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2" t="s">
        <v>10</v>
      </c>
      <c r="B709" s="1"/>
      <c r="C709" s="7" t="s">
        <v>613</v>
      </c>
      <c r="D709" s="7" t="s">
        <v>1159</v>
      </c>
      <c r="E709" s="7" t="s">
        <v>2414</v>
      </c>
      <c r="F709" s="3" t="str">
        <f>IFERROR(__xludf.DUMMYFUNCTION("REGEXREPLACE(E709, ""[^A-Za-z0-9]"", """")"),"AgebyLanguageSpokenatHomebyAbilitytoSpeakEnglishforthePopulation5YearsandOver")</f>
        <v>AgebyLanguageSpokenatHomebyAbilitytoSpeakEnglishforthePopulation5YearsandOver</v>
      </c>
      <c r="G709" s="7"/>
      <c r="H709" s="7" t="s">
        <v>2543</v>
      </c>
      <c r="I709" s="1" t="s">
        <v>2544</v>
      </c>
      <c r="J709" s="7" t="s">
        <v>2545</v>
      </c>
      <c r="K709" s="1"/>
      <c r="L709" s="1" t="s">
        <v>2546</v>
      </c>
      <c r="M709" s="1"/>
      <c r="N709" s="1"/>
      <c r="O709" s="1" t="str">
        <f t="shared" si="1"/>
        <v> = 'B16004_035',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2" t="s">
        <v>10</v>
      </c>
      <c r="B710" s="1"/>
      <c r="C710" s="7" t="s">
        <v>613</v>
      </c>
      <c r="D710" s="7" t="s">
        <v>1159</v>
      </c>
      <c r="E710" s="7" t="s">
        <v>2414</v>
      </c>
      <c r="F710" s="3" t="str">
        <f>IFERROR(__xludf.DUMMYFUNCTION("REGEXREPLACE(E710, ""[^A-Za-z0-9]"", """")"),"AgebyLanguageSpokenatHomebyAbilitytoSpeakEnglishforthePopulation5YearsandOver")</f>
        <v>AgebyLanguageSpokenatHomebyAbilitytoSpeakEnglishforthePopulation5YearsandOver</v>
      </c>
      <c r="G710" s="7"/>
      <c r="H710" s="7" t="s">
        <v>2547</v>
      </c>
      <c r="I710" s="1" t="s">
        <v>2548</v>
      </c>
      <c r="J710" s="7" t="s">
        <v>2549</v>
      </c>
      <c r="K710" s="1"/>
      <c r="L710" s="1" t="s">
        <v>2550</v>
      </c>
      <c r="M710" s="1"/>
      <c r="N710" s="1"/>
      <c r="O710" s="1" t="str">
        <f t="shared" si="1"/>
        <v> = 'B16004_036',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2" t="s">
        <v>10</v>
      </c>
      <c r="B711" s="1"/>
      <c r="C711" s="7" t="s">
        <v>613</v>
      </c>
      <c r="D711" s="7" t="s">
        <v>1159</v>
      </c>
      <c r="E711" s="7" t="s">
        <v>2414</v>
      </c>
      <c r="F711" s="3" t="str">
        <f>IFERROR(__xludf.DUMMYFUNCTION("REGEXREPLACE(E711, ""[^A-Za-z0-9]"", """")"),"AgebyLanguageSpokenatHomebyAbilitytoSpeakEnglishforthePopulation5YearsandOver")</f>
        <v>AgebyLanguageSpokenatHomebyAbilitytoSpeakEnglishforthePopulation5YearsandOver</v>
      </c>
      <c r="G711" s="7"/>
      <c r="H711" s="7" t="s">
        <v>2551</v>
      </c>
      <c r="I711" s="1" t="s">
        <v>2552</v>
      </c>
      <c r="J711" s="7" t="s">
        <v>2553</v>
      </c>
      <c r="K711" s="1"/>
      <c r="L711" s="1" t="s">
        <v>2554</v>
      </c>
      <c r="M711" s="1"/>
      <c r="N711" s="1"/>
      <c r="O711" s="1" t="str">
        <f t="shared" si="1"/>
        <v> = 'B16004_037',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2" t="s">
        <v>10</v>
      </c>
      <c r="B712" s="1"/>
      <c r="C712" s="7" t="s">
        <v>613</v>
      </c>
      <c r="D712" s="7" t="s">
        <v>1159</v>
      </c>
      <c r="E712" s="7" t="s">
        <v>2414</v>
      </c>
      <c r="F712" s="3" t="str">
        <f>IFERROR(__xludf.DUMMYFUNCTION("REGEXREPLACE(E712, ""[^A-Za-z0-9]"", """")"),"AgebyLanguageSpokenatHomebyAbilitytoSpeakEnglishforthePopulation5YearsandOver")</f>
        <v>AgebyLanguageSpokenatHomebyAbilitytoSpeakEnglishforthePopulation5YearsandOver</v>
      </c>
      <c r="G712" s="7"/>
      <c r="H712" s="7" t="s">
        <v>2555</v>
      </c>
      <c r="I712" s="1" t="s">
        <v>2556</v>
      </c>
      <c r="J712" s="7" t="s">
        <v>2557</v>
      </c>
      <c r="K712" s="1"/>
      <c r="L712" s="1" t="s">
        <v>2558</v>
      </c>
      <c r="M712" s="1"/>
      <c r="N712" s="1"/>
      <c r="O712" s="1" t="str">
        <f t="shared" si="1"/>
        <v> = 'B16004_038',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2" t="s">
        <v>10</v>
      </c>
      <c r="B713" s="1"/>
      <c r="C713" s="7" t="s">
        <v>613</v>
      </c>
      <c r="D713" s="7" t="s">
        <v>1159</v>
      </c>
      <c r="E713" s="7" t="s">
        <v>2414</v>
      </c>
      <c r="F713" s="3" t="str">
        <f>IFERROR(__xludf.DUMMYFUNCTION("REGEXREPLACE(E713, ""[^A-Za-z0-9]"", """")"),"AgebyLanguageSpokenatHomebyAbilitytoSpeakEnglishforthePopulation5YearsandOver")</f>
        <v>AgebyLanguageSpokenatHomebyAbilitytoSpeakEnglishforthePopulation5YearsandOver</v>
      </c>
      <c r="G713" s="7"/>
      <c r="H713" s="7" t="s">
        <v>2559</v>
      </c>
      <c r="I713" s="1" t="s">
        <v>2560</v>
      </c>
      <c r="J713" s="7" t="s">
        <v>2561</v>
      </c>
      <c r="K713" s="1"/>
      <c r="L713" s="1" t="s">
        <v>2562</v>
      </c>
      <c r="M713" s="1"/>
      <c r="N713" s="1"/>
      <c r="O713" s="1" t="str">
        <f t="shared" si="1"/>
        <v> = 'B16004_039',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2" t="s">
        <v>10</v>
      </c>
      <c r="B714" s="1"/>
      <c r="C714" s="7" t="s">
        <v>613</v>
      </c>
      <c r="D714" s="7" t="s">
        <v>1159</v>
      </c>
      <c r="E714" s="7" t="s">
        <v>2414</v>
      </c>
      <c r="F714" s="3" t="str">
        <f>IFERROR(__xludf.DUMMYFUNCTION("REGEXREPLACE(E714, ""[^A-Za-z0-9]"", """")"),"AgebyLanguageSpokenatHomebyAbilitytoSpeakEnglishforthePopulation5YearsandOver")</f>
        <v>AgebyLanguageSpokenatHomebyAbilitytoSpeakEnglishforthePopulation5YearsandOver</v>
      </c>
      <c r="G714" s="7"/>
      <c r="H714" s="7" t="s">
        <v>2563</v>
      </c>
      <c r="I714" s="1" t="s">
        <v>2564</v>
      </c>
      <c r="J714" s="7" t="s">
        <v>2565</v>
      </c>
      <c r="K714" s="1"/>
      <c r="L714" s="1" t="s">
        <v>2566</v>
      </c>
      <c r="M714" s="1"/>
      <c r="N714" s="1"/>
      <c r="O714" s="1" t="str">
        <f t="shared" si="1"/>
        <v> = 'B16004_040',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2" t="s">
        <v>10</v>
      </c>
      <c r="B715" s="1"/>
      <c r="C715" s="7" t="s">
        <v>613</v>
      </c>
      <c r="D715" s="7" t="s">
        <v>1159</v>
      </c>
      <c r="E715" s="7" t="s">
        <v>2414</v>
      </c>
      <c r="F715" s="3" t="str">
        <f>IFERROR(__xludf.DUMMYFUNCTION("REGEXREPLACE(E715, ""[^A-Za-z0-9]"", """")"),"AgebyLanguageSpokenatHomebyAbilitytoSpeakEnglishforthePopulation5YearsandOver")</f>
        <v>AgebyLanguageSpokenatHomebyAbilitytoSpeakEnglishforthePopulation5YearsandOver</v>
      </c>
      <c r="G715" s="7"/>
      <c r="H715" s="7" t="s">
        <v>2567</v>
      </c>
      <c r="I715" s="1" t="s">
        <v>2568</v>
      </c>
      <c r="J715" s="7" t="s">
        <v>2569</v>
      </c>
      <c r="K715" s="1"/>
      <c r="L715" s="1" t="s">
        <v>2570</v>
      </c>
      <c r="M715" s="1"/>
      <c r="N715" s="1"/>
      <c r="O715" s="1" t="str">
        <f t="shared" si="1"/>
        <v> = 'B16004_041',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2" t="s">
        <v>10</v>
      </c>
      <c r="B716" s="1"/>
      <c r="C716" s="7" t="s">
        <v>613</v>
      </c>
      <c r="D716" s="7" t="s">
        <v>1159</v>
      </c>
      <c r="E716" s="7" t="s">
        <v>2414</v>
      </c>
      <c r="F716" s="3" t="str">
        <f>IFERROR(__xludf.DUMMYFUNCTION("REGEXREPLACE(E716, ""[^A-Za-z0-9]"", """")"),"AgebyLanguageSpokenatHomebyAbilitytoSpeakEnglishforthePopulation5YearsandOver")</f>
        <v>AgebyLanguageSpokenatHomebyAbilitytoSpeakEnglishforthePopulation5YearsandOver</v>
      </c>
      <c r="G716" s="7"/>
      <c r="H716" s="7" t="s">
        <v>2571</v>
      </c>
      <c r="I716" s="1" t="s">
        <v>2572</v>
      </c>
      <c r="J716" s="7" t="s">
        <v>2573</v>
      </c>
      <c r="K716" s="1"/>
      <c r="L716" s="1" t="s">
        <v>2574</v>
      </c>
      <c r="M716" s="1"/>
      <c r="N716" s="1"/>
      <c r="O716" s="1" t="str">
        <f t="shared" si="1"/>
        <v> = 'B16004_042',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2" t="s">
        <v>10</v>
      </c>
      <c r="B717" s="1"/>
      <c r="C717" s="7" t="s">
        <v>613</v>
      </c>
      <c r="D717" s="7" t="s">
        <v>1159</v>
      </c>
      <c r="E717" s="7" t="s">
        <v>2414</v>
      </c>
      <c r="F717" s="3" t="str">
        <f>IFERROR(__xludf.DUMMYFUNCTION("REGEXREPLACE(E717, ""[^A-Za-z0-9]"", """")"),"AgebyLanguageSpokenatHomebyAbilitytoSpeakEnglishforthePopulation5YearsandOver")</f>
        <v>AgebyLanguageSpokenatHomebyAbilitytoSpeakEnglishforthePopulation5YearsandOver</v>
      </c>
      <c r="G717" s="7"/>
      <c r="H717" s="7" t="s">
        <v>2575</v>
      </c>
      <c r="I717" s="1" t="s">
        <v>2576</v>
      </c>
      <c r="J717" s="7" t="s">
        <v>2577</v>
      </c>
      <c r="K717" s="1"/>
      <c r="L717" s="1" t="s">
        <v>2578</v>
      </c>
      <c r="M717" s="1"/>
      <c r="N717" s="1"/>
      <c r="O717" s="1" t="str">
        <f t="shared" si="1"/>
        <v> = 'B16004_043',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2" t="s">
        <v>10</v>
      </c>
      <c r="B718" s="1"/>
      <c r="C718" s="7" t="s">
        <v>613</v>
      </c>
      <c r="D718" s="7" t="s">
        <v>1159</v>
      </c>
      <c r="E718" s="7" t="s">
        <v>2414</v>
      </c>
      <c r="F718" s="3" t="str">
        <f>IFERROR(__xludf.DUMMYFUNCTION("REGEXREPLACE(E718, ""[^A-Za-z0-9]"", """")"),"AgebyLanguageSpokenatHomebyAbilitytoSpeakEnglishforthePopulation5YearsandOver")</f>
        <v>AgebyLanguageSpokenatHomebyAbilitytoSpeakEnglishforthePopulation5YearsandOver</v>
      </c>
      <c r="G718" s="7"/>
      <c r="H718" s="7" t="s">
        <v>2579</v>
      </c>
      <c r="I718" s="1" t="s">
        <v>2580</v>
      </c>
      <c r="J718" s="7" t="s">
        <v>2581</v>
      </c>
      <c r="K718" s="1"/>
      <c r="L718" s="1" t="s">
        <v>2582</v>
      </c>
      <c r="M718" s="1"/>
      <c r="N718" s="1"/>
      <c r="O718" s="1" t="str">
        <f t="shared" si="1"/>
        <v> = 'B16004_044',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2" t="s">
        <v>10</v>
      </c>
      <c r="B719" s="1"/>
      <c r="C719" s="7" t="s">
        <v>613</v>
      </c>
      <c r="D719" s="7" t="s">
        <v>1159</v>
      </c>
      <c r="E719" s="7" t="s">
        <v>2414</v>
      </c>
      <c r="F719" s="3" t="str">
        <f>IFERROR(__xludf.DUMMYFUNCTION("REGEXREPLACE(E719, ""[^A-Za-z0-9]"", """")"),"AgebyLanguageSpokenatHomebyAbilitytoSpeakEnglishforthePopulation5YearsandOver")</f>
        <v>AgebyLanguageSpokenatHomebyAbilitytoSpeakEnglishforthePopulation5YearsandOver</v>
      </c>
      <c r="G719" s="7"/>
      <c r="H719" s="7" t="s">
        <v>2583</v>
      </c>
      <c r="I719" s="1" t="s">
        <v>2584</v>
      </c>
      <c r="J719" s="7" t="s">
        <v>2585</v>
      </c>
      <c r="K719" s="1"/>
      <c r="L719" s="1" t="s">
        <v>2586</v>
      </c>
      <c r="M719" s="1"/>
      <c r="N719" s="1"/>
      <c r="O719" s="1" t="str">
        <f t="shared" si="1"/>
        <v> = 'B16004_045',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2" t="s">
        <v>10</v>
      </c>
      <c r="B720" s="1"/>
      <c r="C720" s="7" t="s">
        <v>613</v>
      </c>
      <c r="D720" s="7" t="s">
        <v>1159</v>
      </c>
      <c r="E720" s="7" t="s">
        <v>2414</v>
      </c>
      <c r="F720" s="3" t="str">
        <f>IFERROR(__xludf.DUMMYFUNCTION("REGEXREPLACE(E720, ""[^A-Za-z0-9]"", """")"),"AgebyLanguageSpokenatHomebyAbilitytoSpeakEnglishforthePopulation5YearsandOver")</f>
        <v>AgebyLanguageSpokenatHomebyAbilitytoSpeakEnglishforthePopulation5YearsandOver</v>
      </c>
      <c r="G720" s="7"/>
      <c r="H720" s="7" t="s">
        <v>787</v>
      </c>
      <c r="I720" s="1" t="s">
        <v>2587</v>
      </c>
      <c r="J720" s="7" t="s">
        <v>2588</v>
      </c>
      <c r="K720" s="1"/>
      <c r="L720" s="1" t="s">
        <v>790</v>
      </c>
      <c r="M720" s="1"/>
      <c r="N720" s="1"/>
      <c r="O720" s="1" t="str">
        <f t="shared" si="1"/>
        <v> = 'B16004_046',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2" t="s">
        <v>10</v>
      </c>
      <c r="B721" s="1"/>
      <c r="C721" s="7" t="s">
        <v>613</v>
      </c>
      <c r="D721" s="7" t="s">
        <v>1159</v>
      </c>
      <c r="E721" s="7" t="s">
        <v>2414</v>
      </c>
      <c r="F721" s="3" t="str">
        <f>IFERROR(__xludf.DUMMYFUNCTION("REGEXREPLACE(E721, ""[^A-Za-z0-9]"", """")"),"AgebyLanguageSpokenatHomebyAbilitytoSpeakEnglishforthePopulation5YearsandOver")</f>
        <v>AgebyLanguageSpokenatHomebyAbilitytoSpeakEnglishforthePopulation5YearsandOver</v>
      </c>
      <c r="G721" s="7"/>
      <c r="H721" s="7" t="s">
        <v>2589</v>
      </c>
      <c r="I721" s="1" t="s">
        <v>2590</v>
      </c>
      <c r="J721" s="7" t="s">
        <v>2591</v>
      </c>
      <c r="K721" s="1"/>
      <c r="L721" s="1" t="s">
        <v>2592</v>
      </c>
      <c r="M721" s="1"/>
      <c r="N721" s="1"/>
      <c r="O721" s="1" t="str">
        <f t="shared" si="1"/>
        <v> = 'B16004_047',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2" t="s">
        <v>10</v>
      </c>
      <c r="B722" s="1"/>
      <c r="C722" s="7" t="s">
        <v>613</v>
      </c>
      <c r="D722" s="7" t="s">
        <v>1159</v>
      </c>
      <c r="E722" s="7" t="s">
        <v>2414</v>
      </c>
      <c r="F722" s="3" t="str">
        <f>IFERROR(__xludf.DUMMYFUNCTION("REGEXREPLACE(E722, ""[^A-Za-z0-9]"", """")"),"AgebyLanguageSpokenatHomebyAbilitytoSpeakEnglishforthePopulation5YearsandOver")</f>
        <v>AgebyLanguageSpokenatHomebyAbilitytoSpeakEnglishforthePopulation5YearsandOver</v>
      </c>
      <c r="G722" s="7"/>
      <c r="H722" s="7" t="s">
        <v>2593</v>
      </c>
      <c r="I722" s="1" t="s">
        <v>2594</v>
      </c>
      <c r="J722" s="7" t="s">
        <v>2595</v>
      </c>
      <c r="K722" s="1"/>
      <c r="L722" s="1" t="s">
        <v>2596</v>
      </c>
      <c r="M722" s="1"/>
      <c r="N722" s="1"/>
      <c r="O722" s="1" t="str">
        <f t="shared" si="1"/>
        <v> = 'B16004_048',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2" t="s">
        <v>10</v>
      </c>
      <c r="B723" s="1"/>
      <c r="C723" s="7" t="s">
        <v>613</v>
      </c>
      <c r="D723" s="7" t="s">
        <v>1159</v>
      </c>
      <c r="E723" s="7" t="s">
        <v>2414</v>
      </c>
      <c r="F723" s="3" t="str">
        <f>IFERROR(__xludf.DUMMYFUNCTION("REGEXREPLACE(E723, ""[^A-Za-z0-9]"", """")"),"AgebyLanguageSpokenatHomebyAbilitytoSpeakEnglishforthePopulation5YearsandOver")</f>
        <v>AgebyLanguageSpokenatHomebyAbilitytoSpeakEnglishforthePopulation5YearsandOver</v>
      </c>
      <c r="G723" s="7"/>
      <c r="H723" s="7" t="s">
        <v>2597</v>
      </c>
      <c r="I723" s="1" t="s">
        <v>2598</v>
      </c>
      <c r="J723" s="7" t="s">
        <v>2599</v>
      </c>
      <c r="K723" s="1"/>
      <c r="L723" s="1" t="s">
        <v>2600</v>
      </c>
      <c r="M723" s="1"/>
      <c r="N723" s="1"/>
      <c r="O723" s="1" t="str">
        <f t="shared" si="1"/>
        <v> = 'B16004_049',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2" t="s">
        <v>10</v>
      </c>
      <c r="B724" s="1"/>
      <c r="C724" s="7" t="s">
        <v>613</v>
      </c>
      <c r="D724" s="7" t="s">
        <v>1159</v>
      </c>
      <c r="E724" s="7" t="s">
        <v>2414</v>
      </c>
      <c r="F724" s="3" t="str">
        <f>IFERROR(__xludf.DUMMYFUNCTION("REGEXREPLACE(E724, ""[^A-Za-z0-9]"", """")"),"AgebyLanguageSpokenatHomebyAbilitytoSpeakEnglishforthePopulation5YearsandOver")</f>
        <v>AgebyLanguageSpokenatHomebyAbilitytoSpeakEnglishforthePopulation5YearsandOver</v>
      </c>
      <c r="G724" s="7"/>
      <c r="H724" s="7" t="s">
        <v>2601</v>
      </c>
      <c r="I724" s="1" t="s">
        <v>2602</v>
      </c>
      <c r="J724" s="7" t="s">
        <v>2603</v>
      </c>
      <c r="K724" s="1"/>
      <c r="L724" s="1" t="s">
        <v>2604</v>
      </c>
      <c r="M724" s="1"/>
      <c r="N724" s="1"/>
      <c r="O724" s="1" t="str">
        <f t="shared" si="1"/>
        <v> = 'B16004_050',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2" t="s">
        <v>10</v>
      </c>
      <c r="B725" s="1"/>
      <c r="C725" s="7" t="s">
        <v>613</v>
      </c>
      <c r="D725" s="7" t="s">
        <v>1159</v>
      </c>
      <c r="E725" s="7" t="s">
        <v>2414</v>
      </c>
      <c r="F725" s="3" t="str">
        <f>IFERROR(__xludf.DUMMYFUNCTION("REGEXREPLACE(E725, ""[^A-Za-z0-9]"", """")"),"AgebyLanguageSpokenatHomebyAbilitytoSpeakEnglishforthePopulation5YearsandOver")</f>
        <v>AgebyLanguageSpokenatHomebyAbilitytoSpeakEnglishforthePopulation5YearsandOver</v>
      </c>
      <c r="G725" s="7"/>
      <c r="H725" s="7" t="s">
        <v>2605</v>
      </c>
      <c r="I725" s="1" t="s">
        <v>2606</v>
      </c>
      <c r="J725" s="7" t="s">
        <v>2607</v>
      </c>
      <c r="K725" s="1"/>
      <c r="L725" s="1" t="s">
        <v>2608</v>
      </c>
      <c r="M725" s="1"/>
      <c r="N725" s="1"/>
      <c r="O725" s="1" t="str">
        <f t="shared" si="1"/>
        <v> = 'B16004_051',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2" t="s">
        <v>10</v>
      </c>
      <c r="B726" s="1"/>
      <c r="C726" s="7" t="s">
        <v>613</v>
      </c>
      <c r="D726" s="7" t="s">
        <v>1159</v>
      </c>
      <c r="E726" s="7" t="s">
        <v>2414</v>
      </c>
      <c r="F726" s="3" t="str">
        <f>IFERROR(__xludf.DUMMYFUNCTION("REGEXREPLACE(E726, ""[^A-Za-z0-9]"", """")"),"AgebyLanguageSpokenatHomebyAbilitytoSpeakEnglishforthePopulation5YearsandOver")</f>
        <v>AgebyLanguageSpokenatHomebyAbilitytoSpeakEnglishforthePopulation5YearsandOver</v>
      </c>
      <c r="G726" s="7"/>
      <c r="H726" s="7" t="s">
        <v>2609</v>
      </c>
      <c r="I726" s="1" t="s">
        <v>2610</v>
      </c>
      <c r="J726" s="7" t="s">
        <v>2611</v>
      </c>
      <c r="K726" s="1"/>
      <c r="L726" s="1" t="s">
        <v>2612</v>
      </c>
      <c r="M726" s="1"/>
      <c r="N726" s="1"/>
      <c r="O726" s="1" t="str">
        <f t="shared" si="1"/>
        <v> = 'B16004_052',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2" t="s">
        <v>10</v>
      </c>
      <c r="B727" s="1"/>
      <c r="C727" s="7" t="s">
        <v>613</v>
      </c>
      <c r="D727" s="7" t="s">
        <v>1159</v>
      </c>
      <c r="E727" s="7" t="s">
        <v>2414</v>
      </c>
      <c r="F727" s="3" t="str">
        <f>IFERROR(__xludf.DUMMYFUNCTION("REGEXREPLACE(E727, ""[^A-Za-z0-9]"", """")"),"AgebyLanguageSpokenatHomebyAbilitytoSpeakEnglishforthePopulation5YearsandOver")</f>
        <v>AgebyLanguageSpokenatHomebyAbilitytoSpeakEnglishforthePopulation5YearsandOver</v>
      </c>
      <c r="G727" s="7"/>
      <c r="H727" s="7" t="s">
        <v>2613</v>
      </c>
      <c r="I727" s="1" t="s">
        <v>2614</v>
      </c>
      <c r="J727" s="7" t="s">
        <v>2615</v>
      </c>
      <c r="K727" s="1"/>
      <c r="L727" s="1" t="s">
        <v>2616</v>
      </c>
      <c r="M727" s="1"/>
      <c r="N727" s="1"/>
      <c r="O727" s="1" t="str">
        <f t="shared" si="1"/>
        <v> = 'B16004_053',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2" t="s">
        <v>10</v>
      </c>
      <c r="B728" s="1"/>
      <c r="C728" s="7" t="s">
        <v>613</v>
      </c>
      <c r="D728" s="7" t="s">
        <v>1159</v>
      </c>
      <c r="E728" s="7" t="s">
        <v>2414</v>
      </c>
      <c r="F728" s="3" t="str">
        <f>IFERROR(__xludf.DUMMYFUNCTION("REGEXREPLACE(E728, ""[^A-Za-z0-9]"", """")"),"AgebyLanguageSpokenatHomebyAbilitytoSpeakEnglishforthePopulation5YearsandOver")</f>
        <v>AgebyLanguageSpokenatHomebyAbilitytoSpeakEnglishforthePopulation5YearsandOver</v>
      </c>
      <c r="G728" s="7"/>
      <c r="H728" s="7" t="s">
        <v>2617</v>
      </c>
      <c r="I728" s="1" t="s">
        <v>2618</v>
      </c>
      <c r="J728" s="7" t="s">
        <v>2619</v>
      </c>
      <c r="K728" s="1"/>
      <c r="L728" s="1" t="s">
        <v>2620</v>
      </c>
      <c r="M728" s="1"/>
      <c r="N728" s="1"/>
      <c r="O728" s="1" t="str">
        <f t="shared" si="1"/>
        <v> = 'B16004_054',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2" t="s">
        <v>10</v>
      </c>
      <c r="B729" s="1"/>
      <c r="C729" s="7" t="s">
        <v>613</v>
      </c>
      <c r="D729" s="7" t="s">
        <v>1159</v>
      </c>
      <c r="E729" s="7" t="s">
        <v>2414</v>
      </c>
      <c r="F729" s="3" t="str">
        <f>IFERROR(__xludf.DUMMYFUNCTION("REGEXREPLACE(E729, ""[^A-Za-z0-9]"", """")"),"AgebyLanguageSpokenatHomebyAbilitytoSpeakEnglishforthePopulation5YearsandOver")</f>
        <v>AgebyLanguageSpokenatHomebyAbilitytoSpeakEnglishforthePopulation5YearsandOver</v>
      </c>
      <c r="G729" s="7"/>
      <c r="H729" s="7" t="s">
        <v>2621</v>
      </c>
      <c r="I729" s="1" t="s">
        <v>2622</v>
      </c>
      <c r="J729" s="7" t="s">
        <v>2623</v>
      </c>
      <c r="K729" s="1"/>
      <c r="L729" s="1" t="s">
        <v>2624</v>
      </c>
      <c r="M729" s="1"/>
      <c r="N729" s="1"/>
      <c r="O729" s="1" t="str">
        <f t="shared" si="1"/>
        <v> = 'B16004_055',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2" t="s">
        <v>10</v>
      </c>
      <c r="B730" s="1"/>
      <c r="C730" s="7" t="s">
        <v>613</v>
      </c>
      <c r="D730" s="7" t="s">
        <v>1159</v>
      </c>
      <c r="E730" s="7" t="s">
        <v>2414</v>
      </c>
      <c r="F730" s="3" t="str">
        <f>IFERROR(__xludf.DUMMYFUNCTION("REGEXREPLACE(E730, ""[^A-Za-z0-9]"", """")"),"AgebyLanguageSpokenatHomebyAbilitytoSpeakEnglishforthePopulation5YearsandOver")</f>
        <v>AgebyLanguageSpokenatHomebyAbilitytoSpeakEnglishforthePopulation5YearsandOver</v>
      </c>
      <c r="G730" s="7"/>
      <c r="H730" s="7" t="s">
        <v>2625</v>
      </c>
      <c r="I730" s="1" t="s">
        <v>2626</v>
      </c>
      <c r="J730" s="7" t="s">
        <v>2627</v>
      </c>
      <c r="K730" s="1"/>
      <c r="L730" s="1" t="s">
        <v>2628</v>
      </c>
      <c r="M730" s="1"/>
      <c r="N730" s="1"/>
      <c r="O730" s="1" t="str">
        <f t="shared" si="1"/>
        <v> = 'B16004_056',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2" t="s">
        <v>10</v>
      </c>
      <c r="B731" s="1"/>
      <c r="C731" s="7" t="s">
        <v>613</v>
      </c>
      <c r="D731" s="7" t="s">
        <v>1159</v>
      </c>
      <c r="E731" s="7" t="s">
        <v>2414</v>
      </c>
      <c r="F731" s="3" t="str">
        <f>IFERROR(__xludf.DUMMYFUNCTION("REGEXREPLACE(E731, ""[^A-Za-z0-9]"", """")"),"AgebyLanguageSpokenatHomebyAbilitytoSpeakEnglishforthePopulation5YearsandOver")</f>
        <v>AgebyLanguageSpokenatHomebyAbilitytoSpeakEnglishforthePopulation5YearsandOver</v>
      </c>
      <c r="G731" s="7"/>
      <c r="H731" s="7" t="s">
        <v>2629</v>
      </c>
      <c r="I731" s="1" t="s">
        <v>2630</v>
      </c>
      <c r="J731" s="7" t="s">
        <v>2631</v>
      </c>
      <c r="K731" s="1"/>
      <c r="L731" s="1" t="s">
        <v>2632</v>
      </c>
      <c r="M731" s="1"/>
      <c r="N731" s="1"/>
      <c r="O731" s="1" t="str">
        <f t="shared" si="1"/>
        <v> = 'B16004_057',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2" t="s">
        <v>10</v>
      </c>
      <c r="B732" s="1"/>
      <c r="C732" s="7" t="s">
        <v>613</v>
      </c>
      <c r="D732" s="7" t="s">
        <v>1159</v>
      </c>
      <c r="E732" s="7" t="s">
        <v>2414</v>
      </c>
      <c r="F732" s="3" t="str">
        <f>IFERROR(__xludf.DUMMYFUNCTION("REGEXREPLACE(E732, ""[^A-Za-z0-9]"", """")"),"AgebyLanguageSpokenatHomebyAbilitytoSpeakEnglishforthePopulation5YearsandOver")</f>
        <v>AgebyLanguageSpokenatHomebyAbilitytoSpeakEnglishforthePopulation5YearsandOver</v>
      </c>
      <c r="G732" s="7"/>
      <c r="H732" s="7" t="s">
        <v>2633</v>
      </c>
      <c r="I732" s="1" t="s">
        <v>2634</v>
      </c>
      <c r="J732" s="7" t="s">
        <v>2635</v>
      </c>
      <c r="K732" s="1"/>
      <c r="L732" s="1" t="s">
        <v>2636</v>
      </c>
      <c r="M732" s="1"/>
      <c r="N732" s="1"/>
      <c r="O732" s="1" t="str">
        <f t="shared" si="1"/>
        <v> = 'B16004_058',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2" t="s">
        <v>10</v>
      </c>
      <c r="B733" s="1"/>
      <c r="C733" s="7" t="s">
        <v>613</v>
      </c>
      <c r="D733" s="7" t="s">
        <v>1159</v>
      </c>
      <c r="E733" s="7" t="s">
        <v>2414</v>
      </c>
      <c r="F733" s="3" t="str">
        <f>IFERROR(__xludf.DUMMYFUNCTION("REGEXREPLACE(E733, ""[^A-Za-z0-9]"", """")"),"AgebyLanguageSpokenatHomebyAbilitytoSpeakEnglishforthePopulation5YearsandOver")</f>
        <v>AgebyLanguageSpokenatHomebyAbilitytoSpeakEnglishforthePopulation5YearsandOver</v>
      </c>
      <c r="G733" s="7"/>
      <c r="H733" s="7" t="s">
        <v>2637</v>
      </c>
      <c r="I733" s="1" t="s">
        <v>2638</v>
      </c>
      <c r="J733" s="7" t="s">
        <v>2639</v>
      </c>
      <c r="K733" s="1"/>
      <c r="L733" s="1" t="s">
        <v>2640</v>
      </c>
      <c r="M733" s="1"/>
      <c r="N733" s="1"/>
      <c r="O733" s="1" t="str">
        <f t="shared" si="1"/>
        <v> = 'B16004_059',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2" t="s">
        <v>10</v>
      </c>
      <c r="B734" s="1"/>
      <c r="C734" s="7" t="s">
        <v>613</v>
      </c>
      <c r="D734" s="7" t="s">
        <v>1159</v>
      </c>
      <c r="E734" s="7" t="s">
        <v>2414</v>
      </c>
      <c r="F734" s="3" t="str">
        <f>IFERROR(__xludf.DUMMYFUNCTION("REGEXREPLACE(E734, ""[^A-Za-z0-9]"", """")"),"AgebyLanguageSpokenatHomebyAbilitytoSpeakEnglishforthePopulation5YearsandOver")</f>
        <v>AgebyLanguageSpokenatHomebyAbilitytoSpeakEnglishforthePopulation5YearsandOver</v>
      </c>
      <c r="G734" s="7"/>
      <c r="H734" s="7" t="s">
        <v>2641</v>
      </c>
      <c r="I734" s="1" t="s">
        <v>2642</v>
      </c>
      <c r="J734" s="7" t="s">
        <v>2643</v>
      </c>
      <c r="K734" s="1"/>
      <c r="L734" s="1" t="s">
        <v>2644</v>
      </c>
      <c r="M734" s="1"/>
      <c r="N734" s="1"/>
      <c r="O734" s="1" t="str">
        <f t="shared" si="1"/>
        <v> = 'B16004_060',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2" t="s">
        <v>10</v>
      </c>
      <c r="B735" s="1"/>
      <c r="C735" s="7" t="s">
        <v>613</v>
      </c>
      <c r="D735" s="7" t="s">
        <v>1159</v>
      </c>
      <c r="E735" s="7" t="s">
        <v>2414</v>
      </c>
      <c r="F735" s="3" t="str">
        <f>IFERROR(__xludf.DUMMYFUNCTION("REGEXREPLACE(E735, ""[^A-Za-z0-9]"", """")"),"AgebyLanguageSpokenatHomebyAbilitytoSpeakEnglishforthePopulation5YearsandOver")</f>
        <v>AgebyLanguageSpokenatHomebyAbilitytoSpeakEnglishforthePopulation5YearsandOver</v>
      </c>
      <c r="G735" s="7"/>
      <c r="H735" s="7" t="s">
        <v>2645</v>
      </c>
      <c r="I735" s="1" t="s">
        <v>2646</v>
      </c>
      <c r="J735" s="7" t="s">
        <v>2647</v>
      </c>
      <c r="K735" s="1"/>
      <c r="L735" s="1" t="s">
        <v>2648</v>
      </c>
      <c r="M735" s="1"/>
      <c r="N735" s="1"/>
      <c r="O735" s="1" t="str">
        <f t="shared" si="1"/>
        <v> = 'B16004_061',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2" t="s">
        <v>10</v>
      </c>
      <c r="B736" s="1"/>
      <c r="C736" s="7" t="s">
        <v>613</v>
      </c>
      <c r="D736" s="7" t="s">
        <v>1159</v>
      </c>
      <c r="E736" s="7" t="s">
        <v>2414</v>
      </c>
      <c r="F736" s="3" t="str">
        <f>IFERROR(__xludf.DUMMYFUNCTION("REGEXREPLACE(E736, ""[^A-Za-z0-9]"", """")"),"AgebyLanguageSpokenatHomebyAbilitytoSpeakEnglishforthePopulation5YearsandOver")</f>
        <v>AgebyLanguageSpokenatHomebyAbilitytoSpeakEnglishforthePopulation5YearsandOver</v>
      </c>
      <c r="G736" s="7"/>
      <c r="H736" s="7" t="s">
        <v>2649</v>
      </c>
      <c r="I736" s="1" t="s">
        <v>2650</v>
      </c>
      <c r="J736" s="7" t="s">
        <v>2651</v>
      </c>
      <c r="K736" s="1"/>
      <c r="L736" s="1" t="s">
        <v>2652</v>
      </c>
      <c r="M736" s="1"/>
      <c r="N736" s="1"/>
      <c r="O736" s="1" t="str">
        <f t="shared" si="1"/>
        <v> = 'B16004_062',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2" t="s">
        <v>10</v>
      </c>
      <c r="B737" s="1"/>
      <c r="C737" s="7" t="s">
        <v>613</v>
      </c>
      <c r="D737" s="7" t="s">
        <v>1159</v>
      </c>
      <c r="E737" s="7" t="s">
        <v>2414</v>
      </c>
      <c r="F737" s="3" t="str">
        <f>IFERROR(__xludf.DUMMYFUNCTION("REGEXREPLACE(E737, ""[^A-Za-z0-9]"", """")"),"AgebyLanguageSpokenatHomebyAbilitytoSpeakEnglishforthePopulation5YearsandOver")</f>
        <v>AgebyLanguageSpokenatHomebyAbilitytoSpeakEnglishforthePopulation5YearsandOver</v>
      </c>
      <c r="G737" s="7"/>
      <c r="H737" s="7" t="s">
        <v>2653</v>
      </c>
      <c r="I737" s="1" t="s">
        <v>2654</v>
      </c>
      <c r="J737" s="7" t="s">
        <v>2655</v>
      </c>
      <c r="K737" s="1"/>
      <c r="L737" s="1" t="s">
        <v>2656</v>
      </c>
      <c r="M737" s="1"/>
      <c r="N737" s="1"/>
      <c r="O737" s="1" t="str">
        <f t="shared" si="1"/>
        <v> = 'B16004_063',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2" t="s">
        <v>10</v>
      </c>
      <c r="B738" s="1"/>
      <c r="C738" s="7" t="s">
        <v>613</v>
      </c>
      <c r="D738" s="7" t="s">
        <v>1159</v>
      </c>
      <c r="E738" s="7" t="s">
        <v>2414</v>
      </c>
      <c r="F738" s="3" t="str">
        <f>IFERROR(__xludf.DUMMYFUNCTION("REGEXREPLACE(E738, ""[^A-Za-z0-9]"", """")"),"AgebyLanguageSpokenatHomebyAbilitytoSpeakEnglishforthePopulation5YearsandOver")</f>
        <v>AgebyLanguageSpokenatHomebyAbilitytoSpeakEnglishforthePopulation5YearsandOver</v>
      </c>
      <c r="G738" s="7"/>
      <c r="H738" s="7" t="s">
        <v>2657</v>
      </c>
      <c r="I738" s="1" t="s">
        <v>2658</v>
      </c>
      <c r="J738" s="7" t="s">
        <v>2659</v>
      </c>
      <c r="K738" s="1"/>
      <c r="L738" s="1" t="s">
        <v>2660</v>
      </c>
      <c r="M738" s="1"/>
      <c r="N738" s="1"/>
      <c r="O738" s="1" t="str">
        <f t="shared" si="1"/>
        <v> = 'B16004_064',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2" t="s">
        <v>10</v>
      </c>
      <c r="B739" s="1"/>
      <c r="C739" s="7" t="s">
        <v>613</v>
      </c>
      <c r="D739" s="7" t="s">
        <v>1159</v>
      </c>
      <c r="E739" s="7" t="s">
        <v>2414</v>
      </c>
      <c r="F739" s="3" t="str">
        <f>IFERROR(__xludf.DUMMYFUNCTION("REGEXREPLACE(E739, ""[^A-Za-z0-9]"", """")"),"AgebyLanguageSpokenatHomebyAbilitytoSpeakEnglishforthePopulation5YearsandOver")</f>
        <v>AgebyLanguageSpokenatHomebyAbilitytoSpeakEnglishforthePopulation5YearsandOver</v>
      </c>
      <c r="G739" s="7"/>
      <c r="H739" s="7" t="s">
        <v>2661</v>
      </c>
      <c r="I739" s="1" t="s">
        <v>2662</v>
      </c>
      <c r="J739" s="7" t="s">
        <v>2663</v>
      </c>
      <c r="K739" s="1"/>
      <c r="L739" s="1" t="s">
        <v>2664</v>
      </c>
      <c r="M739" s="1"/>
      <c r="N739" s="1"/>
      <c r="O739" s="1" t="str">
        <f t="shared" si="1"/>
        <v> = 'B16004_065',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2" t="s">
        <v>10</v>
      </c>
      <c r="B740" s="1"/>
      <c r="C740" s="7" t="s">
        <v>613</v>
      </c>
      <c r="D740" s="7" t="s">
        <v>1159</v>
      </c>
      <c r="E740" s="7" t="s">
        <v>2414</v>
      </c>
      <c r="F740" s="3" t="str">
        <f>IFERROR(__xludf.DUMMYFUNCTION("REGEXREPLACE(E740, ""[^A-Za-z0-9]"", """")"),"AgebyLanguageSpokenatHomebyAbilitytoSpeakEnglishforthePopulation5YearsandOver")</f>
        <v>AgebyLanguageSpokenatHomebyAbilitytoSpeakEnglishforthePopulation5YearsandOver</v>
      </c>
      <c r="G740" s="7"/>
      <c r="H740" s="7" t="s">
        <v>2665</v>
      </c>
      <c r="I740" s="1" t="s">
        <v>2666</v>
      </c>
      <c r="J740" s="7" t="s">
        <v>2667</v>
      </c>
      <c r="K740" s="1"/>
      <c r="L740" s="1" t="s">
        <v>2668</v>
      </c>
      <c r="M740" s="1"/>
      <c r="N740" s="1"/>
      <c r="O740" s="1" t="str">
        <f t="shared" si="1"/>
        <v> = 'B16004_066',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2" t="s">
        <v>10</v>
      </c>
      <c r="B741" s="1"/>
      <c r="C741" s="7" t="s">
        <v>613</v>
      </c>
      <c r="D741" s="7" t="s">
        <v>1159</v>
      </c>
      <c r="E741" s="7" t="s">
        <v>2414</v>
      </c>
      <c r="F741" s="3" t="str">
        <f>IFERROR(__xludf.DUMMYFUNCTION("REGEXREPLACE(E741, ""[^A-Za-z0-9]"", """")"),"AgebyLanguageSpokenatHomebyAbilitytoSpeakEnglishforthePopulation5YearsandOver")</f>
        <v>AgebyLanguageSpokenatHomebyAbilitytoSpeakEnglishforthePopulation5YearsandOver</v>
      </c>
      <c r="G741" s="7"/>
      <c r="H741" s="7" t="s">
        <v>2669</v>
      </c>
      <c r="I741" s="1" t="s">
        <v>2670</v>
      </c>
      <c r="J741" s="7" t="s">
        <v>2671</v>
      </c>
      <c r="K741" s="1"/>
      <c r="L741" s="1" t="s">
        <v>2672</v>
      </c>
      <c r="M741" s="1"/>
      <c r="N741" s="1"/>
      <c r="O741" s="1" t="str">
        <f t="shared" si="1"/>
        <v> = 'B16004_067',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2" t="s">
        <v>10</v>
      </c>
      <c r="B742" s="1"/>
      <c r="C742" s="7" t="s">
        <v>1158</v>
      </c>
      <c r="D742" s="7" t="s">
        <v>1159</v>
      </c>
      <c r="E742" s="7" t="s">
        <v>2673</v>
      </c>
      <c r="F742" s="3" t="str">
        <f>IFERROR(__xludf.DUMMYFUNCTION("REGEXREPLACE(E742, ""[^A-Za-z0-9]"", """")"),"NativitybyLanguageSpokenatHomebyAbilitytoSpeakEnglishforthePopulation5YearsandOverWhiteAlone")</f>
        <v>NativitybyLanguageSpokenatHomebyAbilitytoSpeakEnglishforthePopulation5YearsandOverWhiteAlone</v>
      </c>
      <c r="G742" s="7"/>
      <c r="H742" s="7" t="s">
        <v>16</v>
      </c>
      <c r="I742" s="1" t="s">
        <v>2674</v>
      </c>
      <c r="J742" s="7" t="s">
        <v>2675</v>
      </c>
      <c r="K742" s="1"/>
      <c r="L742" s="1" t="s">
        <v>20</v>
      </c>
      <c r="M742" s="1"/>
      <c r="N742" s="1"/>
      <c r="O742" s="1" t="str">
        <f t="shared" si="1"/>
        <v> = 'B16005A_001',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2" t="s">
        <v>10</v>
      </c>
      <c r="B743" s="1"/>
      <c r="C743" s="7" t="s">
        <v>1158</v>
      </c>
      <c r="D743" s="7" t="s">
        <v>1159</v>
      </c>
      <c r="E743" s="7" t="s">
        <v>2673</v>
      </c>
      <c r="F743" s="3" t="str">
        <f>IFERROR(__xludf.DUMMYFUNCTION("REGEXREPLACE(E743, ""[^A-Za-z0-9]"", """")"),"NativitybyLanguageSpokenatHomebyAbilitytoSpeakEnglishforthePopulation5YearsandOverWhiteAlone")</f>
        <v>NativitybyLanguageSpokenatHomebyAbilitytoSpeakEnglishforthePopulation5YearsandOverWhiteAlone</v>
      </c>
      <c r="G743" s="7"/>
      <c r="H743" s="7" t="s">
        <v>2676</v>
      </c>
      <c r="I743" s="1" t="s">
        <v>2677</v>
      </c>
      <c r="J743" s="7" t="s">
        <v>2678</v>
      </c>
      <c r="K743" s="1"/>
      <c r="L743" s="1" t="s">
        <v>2679</v>
      </c>
      <c r="M743" s="1"/>
      <c r="N743" s="1"/>
      <c r="O743" s="1" t="str">
        <f t="shared" si="1"/>
        <v> = 'B16005A_002',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2" t="s">
        <v>10</v>
      </c>
      <c r="B744" s="1"/>
      <c r="C744" s="7" t="s">
        <v>1158</v>
      </c>
      <c r="D744" s="7" t="s">
        <v>1159</v>
      </c>
      <c r="E744" s="7" t="s">
        <v>2673</v>
      </c>
      <c r="F744" s="3" t="str">
        <f>IFERROR(__xludf.DUMMYFUNCTION("REGEXREPLACE(E744, ""[^A-Za-z0-9]"", """")"),"NativitybyLanguageSpokenatHomebyAbilitytoSpeakEnglishforthePopulation5YearsandOverWhiteAlone")</f>
        <v>NativitybyLanguageSpokenatHomebyAbilitytoSpeakEnglishforthePopulation5YearsandOverWhiteAlone</v>
      </c>
      <c r="G744" s="7"/>
      <c r="H744" s="7" t="s">
        <v>2680</v>
      </c>
      <c r="I744" s="1" t="s">
        <v>2681</v>
      </c>
      <c r="J744" s="7" t="s">
        <v>2682</v>
      </c>
      <c r="K744" s="1"/>
      <c r="L744" s="1" t="s">
        <v>2683</v>
      </c>
      <c r="M744" s="1"/>
      <c r="N744" s="1"/>
      <c r="O744" s="1" t="str">
        <f t="shared" si="1"/>
        <v> = 'B16005A_003',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2" t="s">
        <v>10</v>
      </c>
      <c r="B745" s="1"/>
      <c r="C745" s="7" t="s">
        <v>1158</v>
      </c>
      <c r="D745" s="7" t="s">
        <v>1159</v>
      </c>
      <c r="E745" s="7" t="s">
        <v>2673</v>
      </c>
      <c r="F745" s="3" t="str">
        <f>IFERROR(__xludf.DUMMYFUNCTION("REGEXREPLACE(E745, ""[^A-Za-z0-9]"", """")"),"NativitybyLanguageSpokenatHomebyAbilitytoSpeakEnglishforthePopulation5YearsandOverWhiteAlone")</f>
        <v>NativitybyLanguageSpokenatHomebyAbilitytoSpeakEnglishforthePopulation5YearsandOverWhiteAlone</v>
      </c>
      <c r="G745" s="7"/>
      <c r="H745" s="7" t="s">
        <v>2684</v>
      </c>
      <c r="I745" s="1" t="s">
        <v>2685</v>
      </c>
      <c r="J745" s="7" t="s">
        <v>2686</v>
      </c>
      <c r="K745" s="1"/>
      <c r="L745" s="1" t="s">
        <v>2687</v>
      </c>
      <c r="M745" s="1"/>
      <c r="N745" s="1"/>
      <c r="O745" s="1" t="str">
        <f t="shared" si="1"/>
        <v> = 'B16005A_004',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2" t="s">
        <v>10</v>
      </c>
      <c r="B746" s="1"/>
      <c r="C746" s="7" t="s">
        <v>1158</v>
      </c>
      <c r="D746" s="7" t="s">
        <v>1159</v>
      </c>
      <c r="E746" s="7" t="s">
        <v>2673</v>
      </c>
      <c r="F746" s="3" t="str">
        <f>IFERROR(__xludf.DUMMYFUNCTION("REGEXREPLACE(E746, ""[^A-Za-z0-9]"", """")"),"NativitybyLanguageSpokenatHomebyAbilitytoSpeakEnglishforthePopulation5YearsandOverWhiteAlone")</f>
        <v>NativitybyLanguageSpokenatHomebyAbilitytoSpeakEnglishforthePopulation5YearsandOverWhiteAlone</v>
      </c>
      <c r="G746" s="7"/>
      <c r="H746" s="7" t="s">
        <v>2688</v>
      </c>
      <c r="I746" s="1" t="s">
        <v>2689</v>
      </c>
      <c r="J746" s="7" t="s">
        <v>2690</v>
      </c>
      <c r="K746" s="1"/>
      <c r="L746" s="1" t="s">
        <v>2691</v>
      </c>
      <c r="M746" s="1"/>
      <c r="N746" s="1"/>
      <c r="O746" s="1" t="str">
        <f t="shared" si="1"/>
        <v> = 'B16005A_005',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2" t="s">
        <v>10</v>
      </c>
      <c r="B747" s="1"/>
      <c r="C747" s="7" t="s">
        <v>1158</v>
      </c>
      <c r="D747" s="7" t="s">
        <v>1159</v>
      </c>
      <c r="E747" s="7" t="s">
        <v>2673</v>
      </c>
      <c r="F747" s="3" t="str">
        <f>IFERROR(__xludf.DUMMYFUNCTION("REGEXREPLACE(E747, ""[^A-Za-z0-9]"", """")"),"NativitybyLanguageSpokenatHomebyAbilitytoSpeakEnglishforthePopulation5YearsandOverWhiteAlone")</f>
        <v>NativitybyLanguageSpokenatHomebyAbilitytoSpeakEnglishforthePopulation5YearsandOverWhiteAlone</v>
      </c>
      <c r="G747" s="7"/>
      <c r="H747" s="7" t="s">
        <v>2692</v>
      </c>
      <c r="I747" s="1" t="s">
        <v>2693</v>
      </c>
      <c r="J747" s="7" t="s">
        <v>2694</v>
      </c>
      <c r="K747" s="1"/>
      <c r="L747" s="1" t="s">
        <v>2695</v>
      </c>
      <c r="M747" s="1"/>
      <c r="N747" s="1"/>
      <c r="O747" s="1" t="str">
        <f t="shared" si="1"/>
        <v> = 'B16005A_006',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2" t="s">
        <v>10</v>
      </c>
      <c r="B748" s="1"/>
      <c r="C748" s="7" t="s">
        <v>1158</v>
      </c>
      <c r="D748" s="7" t="s">
        <v>1159</v>
      </c>
      <c r="E748" s="7" t="s">
        <v>2673</v>
      </c>
      <c r="F748" s="3" t="str">
        <f>IFERROR(__xludf.DUMMYFUNCTION("REGEXREPLACE(E748, ""[^A-Za-z0-9]"", """")"),"NativitybyLanguageSpokenatHomebyAbilitytoSpeakEnglishforthePopulation5YearsandOverWhiteAlone")</f>
        <v>NativitybyLanguageSpokenatHomebyAbilitytoSpeakEnglishforthePopulation5YearsandOverWhiteAlone</v>
      </c>
      <c r="G748" s="7"/>
      <c r="H748" s="7" t="s">
        <v>2696</v>
      </c>
      <c r="I748" s="1" t="s">
        <v>2697</v>
      </c>
      <c r="J748" s="7" t="s">
        <v>2698</v>
      </c>
      <c r="K748" s="1"/>
      <c r="L748" s="1" t="s">
        <v>2699</v>
      </c>
      <c r="M748" s="1"/>
      <c r="N748" s="1"/>
      <c r="O748" s="1" t="str">
        <f t="shared" si="1"/>
        <v> = 'B16005A_007',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2" t="s">
        <v>10</v>
      </c>
      <c r="B749" s="1"/>
      <c r="C749" s="7" t="s">
        <v>1158</v>
      </c>
      <c r="D749" s="7" t="s">
        <v>1159</v>
      </c>
      <c r="E749" s="7" t="s">
        <v>2673</v>
      </c>
      <c r="F749" s="3" t="str">
        <f>IFERROR(__xludf.DUMMYFUNCTION("REGEXREPLACE(E749, ""[^A-Za-z0-9]"", """")"),"NativitybyLanguageSpokenatHomebyAbilitytoSpeakEnglishforthePopulation5YearsandOverWhiteAlone")</f>
        <v>NativitybyLanguageSpokenatHomebyAbilitytoSpeakEnglishforthePopulation5YearsandOverWhiteAlone</v>
      </c>
      <c r="G749" s="7"/>
      <c r="H749" s="7" t="s">
        <v>2700</v>
      </c>
      <c r="I749" s="1" t="s">
        <v>2701</v>
      </c>
      <c r="J749" s="7" t="s">
        <v>2702</v>
      </c>
      <c r="K749" s="1"/>
      <c r="L749" s="1" t="s">
        <v>2703</v>
      </c>
      <c r="M749" s="1"/>
      <c r="N749" s="1"/>
      <c r="O749" s="1" t="str">
        <f t="shared" si="1"/>
        <v> = 'B16005A_008',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2" t="s">
        <v>10</v>
      </c>
      <c r="B750" s="1"/>
      <c r="C750" s="7" t="s">
        <v>1158</v>
      </c>
      <c r="D750" s="7" t="s">
        <v>1159</v>
      </c>
      <c r="E750" s="7" t="s">
        <v>2673</v>
      </c>
      <c r="F750" s="3" t="str">
        <f>IFERROR(__xludf.DUMMYFUNCTION("REGEXREPLACE(E750, ""[^A-Za-z0-9]"", """")"),"NativitybyLanguageSpokenatHomebyAbilitytoSpeakEnglishforthePopulation5YearsandOverWhiteAlone")</f>
        <v>NativitybyLanguageSpokenatHomebyAbilitytoSpeakEnglishforthePopulation5YearsandOverWhiteAlone</v>
      </c>
      <c r="G750" s="7"/>
      <c r="H750" s="7" t="s">
        <v>2704</v>
      </c>
      <c r="I750" s="1" t="s">
        <v>2705</v>
      </c>
      <c r="J750" s="7" t="s">
        <v>2706</v>
      </c>
      <c r="K750" s="1"/>
      <c r="L750" s="1" t="s">
        <v>2707</v>
      </c>
      <c r="M750" s="1"/>
      <c r="N750" s="1"/>
      <c r="O750" s="1" t="str">
        <f t="shared" si="1"/>
        <v> = 'B16005A_009',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2" t="s">
        <v>10</v>
      </c>
      <c r="B751" s="1"/>
      <c r="C751" s="7" t="s">
        <v>1158</v>
      </c>
      <c r="D751" s="7" t="s">
        <v>1159</v>
      </c>
      <c r="E751" s="7" t="s">
        <v>2673</v>
      </c>
      <c r="F751" s="3" t="str">
        <f>IFERROR(__xludf.DUMMYFUNCTION("REGEXREPLACE(E751, ""[^A-Za-z0-9]"", """")"),"NativitybyLanguageSpokenatHomebyAbilitytoSpeakEnglishforthePopulation5YearsandOverWhiteAlone")</f>
        <v>NativitybyLanguageSpokenatHomebyAbilitytoSpeakEnglishforthePopulation5YearsandOverWhiteAlone</v>
      </c>
      <c r="G751" s="7"/>
      <c r="H751" s="7" t="s">
        <v>2708</v>
      </c>
      <c r="I751" s="1" t="s">
        <v>2709</v>
      </c>
      <c r="J751" s="7" t="s">
        <v>2710</v>
      </c>
      <c r="K751" s="1"/>
      <c r="L751" s="1" t="s">
        <v>2711</v>
      </c>
      <c r="M751" s="1"/>
      <c r="N751" s="1"/>
      <c r="O751" s="1" t="str">
        <f t="shared" si="1"/>
        <v> = 'B16005A_010',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2" t="s">
        <v>10</v>
      </c>
      <c r="B752" s="1"/>
      <c r="C752" s="7" t="s">
        <v>1158</v>
      </c>
      <c r="D752" s="7" t="s">
        <v>1159</v>
      </c>
      <c r="E752" s="7" t="s">
        <v>2673</v>
      </c>
      <c r="F752" s="3" t="str">
        <f>IFERROR(__xludf.DUMMYFUNCTION("REGEXREPLACE(E752, ""[^A-Za-z0-9]"", """")"),"NativitybyLanguageSpokenatHomebyAbilitytoSpeakEnglishforthePopulation5YearsandOverWhiteAlone")</f>
        <v>NativitybyLanguageSpokenatHomebyAbilitytoSpeakEnglishforthePopulation5YearsandOverWhiteAlone</v>
      </c>
      <c r="G752" s="7"/>
      <c r="H752" s="7" t="s">
        <v>2712</v>
      </c>
      <c r="I752" s="1" t="s">
        <v>2713</v>
      </c>
      <c r="J752" s="7" t="s">
        <v>2714</v>
      </c>
      <c r="K752" s="1"/>
      <c r="L752" s="1" t="s">
        <v>2715</v>
      </c>
      <c r="M752" s="1"/>
      <c r="N752" s="1"/>
      <c r="O752" s="1" t="str">
        <f t="shared" si="1"/>
        <v> = 'B16005A_011',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2" t="s">
        <v>10</v>
      </c>
      <c r="B753" s="1"/>
      <c r="C753" s="7" t="s">
        <v>1158</v>
      </c>
      <c r="D753" s="7" t="s">
        <v>1159</v>
      </c>
      <c r="E753" s="7" t="s">
        <v>2716</v>
      </c>
      <c r="F753" s="3" t="str">
        <f>IFERROR(__xludf.DUMMYFUNCTION("REGEXREPLACE(E753,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3" s="7"/>
      <c r="H753" s="7" t="s">
        <v>16</v>
      </c>
      <c r="I753" s="1" t="s">
        <v>2717</v>
      </c>
      <c r="J753" s="7" t="s">
        <v>2718</v>
      </c>
      <c r="K753" s="1"/>
      <c r="L753" s="1" t="s">
        <v>20</v>
      </c>
      <c r="M753" s="1"/>
      <c r="N753" s="1"/>
      <c r="O753" s="1" t="str">
        <f t="shared" si="1"/>
        <v> = 'B16005B_001',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2" t="s">
        <v>10</v>
      </c>
      <c r="B754" s="1"/>
      <c r="C754" s="7" t="s">
        <v>1158</v>
      </c>
      <c r="D754" s="7" t="s">
        <v>1159</v>
      </c>
      <c r="E754" s="7" t="s">
        <v>2716</v>
      </c>
      <c r="F754" s="3" t="str">
        <f>IFERROR(__xludf.DUMMYFUNCTION("REGEXREPLACE(E754,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4" s="7"/>
      <c r="H754" s="7" t="s">
        <v>2676</v>
      </c>
      <c r="I754" s="1" t="s">
        <v>2719</v>
      </c>
      <c r="J754" s="7" t="s">
        <v>2720</v>
      </c>
      <c r="K754" s="1"/>
      <c r="L754" s="1" t="s">
        <v>2679</v>
      </c>
      <c r="M754" s="1"/>
      <c r="N754" s="1"/>
      <c r="O754" s="1" t="str">
        <f t="shared" si="1"/>
        <v> = 'B16005B_002',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2" t="s">
        <v>10</v>
      </c>
      <c r="B755" s="1"/>
      <c r="C755" s="7" t="s">
        <v>1158</v>
      </c>
      <c r="D755" s="7" t="s">
        <v>1159</v>
      </c>
      <c r="E755" s="7" t="s">
        <v>2716</v>
      </c>
      <c r="F755" s="3" t="str">
        <f>IFERROR(__xludf.DUMMYFUNCTION("REGEXREPLACE(E755,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5" s="7"/>
      <c r="H755" s="7" t="s">
        <v>2680</v>
      </c>
      <c r="I755" s="1" t="s">
        <v>2721</v>
      </c>
      <c r="J755" s="7" t="s">
        <v>2722</v>
      </c>
      <c r="K755" s="1"/>
      <c r="L755" s="1" t="s">
        <v>2683</v>
      </c>
      <c r="M755" s="1"/>
      <c r="N755" s="1"/>
      <c r="O755" s="1" t="str">
        <f t="shared" si="1"/>
        <v> = 'B16005B_003',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2" t="s">
        <v>10</v>
      </c>
      <c r="B756" s="1"/>
      <c r="C756" s="7" t="s">
        <v>1158</v>
      </c>
      <c r="D756" s="7" t="s">
        <v>1159</v>
      </c>
      <c r="E756" s="7" t="s">
        <v>2716</v>
      </c>
      <c r="F756" s="3" t="str">
        <f>IFERROR(__xludf.DUMMYFUNCTION("REGEXREPLACE(E756,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6" s="7"/>
      <c r="H756" s="7" t="s">
        <v>2684</v>
      </c>
      <c r="I756" s="1" t="s">
        <v>2723</v>
      </c>
      <c r="J756" s="7" t="s">
        <v>2724</v>
      </c>
      <c r="K756" s="1"/>
      <c r="L756" s="1" t="s">
        <v>2687</v>
      </c>
      <c r="M756" s="1"/>
      <c r="N756" s="1"/>
      <c r="O756" s="1" t="str">
        <f t="shared" si="1"/>
        <v> = 'B16005B_004',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2" t="s">
        <v>10</v>
      </c>
      <c r="B757" s="1"/>
      <c r="C757" s="7" t="s">
        <v>1158</v>
      </c>
      <c r="D757" s="7" t="s">
        <v>1159</v>
      </c>
      <c r="E757" s="7" t="s">
        <v>2716</v>
      </c>
      <c r="F757" s="3" t="str">
        <f>IFERROR(__xludf.DUMMYFUNCTION("REGEXREPLACE(E757,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7" s="7"/>
      <c r="H757" s="7" t="s">
        <v>2688</v>
      </c>
      <c r="I757" s="1" t="s">
        <v>2725</v>
      </c>
      <c r="J757" s="7" t="s">
        <v>2726</v>
      </c>
      <c r="K757" s="1"/>
      <c r="L757" s="1" t="s">
        <v>2691</v>
      </c>
      <c r="M757" s="1"/>
      <c r="N757" s="1"/>
      <c r="O757" s="1" t="str">
        <f t="shared" si="1"/>
        <v> = 'B16005B_005',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2" t="s">
        <v>10</v>
      </c>
      <c r="B758" s="1"/>
      <c r="C758" s="7" t="s">
        <v>1158</v>
      </c>
      <c r="D758" s="7" t="s">
        <v>1159</v>
      </c>
      <c r="E758" s="7" t="s">
        <v>2716</v>
      </c>
      <c r="F758" s="3" t="str">
        <f>IFERROR(__xludf.DUMMYFUNCTION("REGEXREPLACE(E758,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8" s="7"/>
      <c r="H758" s="7" t="s">
        <v>2692</v>
      </c>
      <c r="I758" s="1" t="s">
        <v>2727</v>
      </c>
      <c r="J758" s="7" t="s">
        <v>2728</v>
      </c>
      <c r="K758" s="1"/>
      <c r="L758" s="1" t="s">
        <v>2695</v>
      </c>
      <c r="M758" s="1"/>
      <c r="N758" s="1"/>
      <c r="O758" s="1" t="str">
        <f t="shared" si="1"/>
        <v> = 'B16005B_006',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2" t="s">
        <v>10</v>
      </c>
      <c r="B759" s="1"/>
      <c r="C759" s="7" t="s">
        <v>1158</v>
      </c>
      <c r="D759" s="7" t="s">
        <v>1159</v>
      </c>
      <c r="E759" s="7" t="s">
        <v>2716</v>
      </c>
      <c r="F759" s="3" t="str">
        <f>IFERROR(__xludf.DUMMYFUNCTION("REGEXREPLACE(E759,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59" s="7"/>
      <c r="H759" s="7" t="s">
        <v>2696</v>
      </c>
      <c r="I759" s="1" t="s">
        <v>2729</v>
      </c>
      <c r="J759" s="7" t="s">
        <v>2730</v>
      </c>
      <c r="K759" s="1"/>
      <c r="L759" s="1" t="s">
        <v>2699</v>
      </c>
      <c r="M759" s="1"/>
      <c r="N759" s="1"/>
      <c r="O759" s="1" t="str">
        <f t="shared" si="1"/>
        <v> = 'B16005B_007',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2" t="s">
        <v>10</v>
      </c>
      <c r="B760" s="1"/>
      <c r="C760" s="7" t="s">
        <v>1158</v>
      </c>
      <c r="D760" s="7" t="s">
        <v>1159</v>
      </c>
      <c r="E760" s="7" t="s">
        <v>2716</v>
      </c>
      <c r="F760" s="3" t="str">
        <f>IFERROR(__xludf.DUMMYFUNCTION("REGEXREPLACE(E760,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60" s="7"/>
      <c r="H760" s="7" t="s">
        <v>2700</v>
      </c>
      <c r="I760" s="1" t="s">
        <v>2731</v>
      </c>
      <c r="J760" s="7" t="s">
        <v>2732</v>
      </c>
      <c r="K760" s="1"/>
      <c r="L760" s="1" t="s">
        <v>2703</v>
      </c>
      <c r="M760" s="1"/>
      <c r="N760" s="1"/>
      <c r="O760" s="1" t="str">
        <f t="shared" si="1"/>
        <v> = 'B16005B_008',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2" t="s">
        <v>10</v>
      </c>
      <c r="B761" s="1"/>
      <c r="C761" s="7" t="s">
        <v>1158</v>
      </c>
      <c r="D761" s="7" t="s">
        <v>1159</v>
      </c>
      <c r="E761" s="7" t="s">
        <v>2716</v>
      </c>
      <c r="F761" s="3" t="str">
        <f>IFERROR(__xludf.DUMMYFUNCTION("REGEXREPLACE(E761,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61" s="7"/>
      <c r="H761" s="7" t="s">
        <v>2704</v>
      </c>
      <c r="I761" s="1" t="s">
        <v>2733</v>
      </c>
      <c r="J761" s="7" t="s">
        <v>2734</v>
      </c>
      <c r="K761" s="1"/>
      <c r="L761" s="1" t="s">
        <v>2707</v>
      </c>
      <c r="M761" s="1"/>
      <c r="N761" s="1"/>
      <c r="O761" s="1" t="str">
        <f t="shared" si="1"/>
        <v> = 'B16005B_009',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2" t="s">
        <v>10</v>
      </c>
      <c r="B762" s="1"/>
      <c r="C762" s="7" t="s">
        <v>1158</v>
      </c>
      <c r="D762" s="7" t="s">
        <v>1159</v>
      </c>
      <c r="E762" s="7" t="s">
        <v>2716</v>
      </c>
      <c r="F762" s="3" t="str">
        <f>IFERROR(__xludf.DUMMYFUNCTION("REGEXREPLACE(E762,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62" s="7"/>
      <c r="H762" s="7" t="s">
        <v>2708</v>
      </c>
      <c r="I762" s="1" t="s">
        <v>2735</v>
      </c>
      <c r="J762" s="7" t="s">
        <v>2736</v>
      </c>
      <c r="K762" s="1"/>
      <c r="L762" s="1" t="s">
        <v>2711</v>
      </c>
      <c r="M762" s="1"/>
      <c r="N762" s="1"/>
      <c r="O762" s="1" t="str">
        <f t="shared" si="1"/>
        <v> = 'B16005B_010',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2" t="s">
        <v>10</v>
      </c>
      <c r="B763" s="1"/>
      <c r="C763" s="7" t="s">
        <v>1158</v>
      </c>
      <c r="D763" s="7" t="s">
        <v>1159</v>
      </c>
      <c r="E763" s="7" t="s">
        <v>2716</v>
      </c>
      <c r="F763" s="3" t="str">
        <f>IFERROR(__xludf.DUMMYFUNCTION("REGEXREPLACE(E763, ""[^A-Za-z0-9]"", """")"),"NativitybyLanguageSpokenatHomebyAbilitytoSpeakEnglishforthePopulation5YearsandOverBlackorAfricanAmericanAlone")</f>
        <v>NativitybyLanguageSpokenatHomebyAbilitytoSpeakEnglishforthePopulation5YearsandOverBlackorAfricanAmericanAlone</v>
      </c>
      <c r="G763" s="7"/>
      <c r="H763" s="7" t="s">
        <v>2712</v>
      </c>
      <c r="I763" s="1" t="s">
        <v>2737</v>
      </c>
      <c r="J763" s="7" t="s">
        <v>2738</v>
      </c>
      <c r="K763" s="1"/>
      <c r="L763" s="1" t="s">
        <v>2715</v>
      </c>
      <c r="M763" s="1"/>
      <c r="N763" s="1"/>
      <c r="O763" s="1" t="str">
        <f t="shared" si="1"/>
        <v> = 'B16005B_011',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2" t="s">
        <v>10</v>
      </c>
      <c r="B764" s="1"/>
      <c r="C764" s="7" t="s">
        <v>1158</v>
      </c>
      <c r="D764" s="7" t="s">
        <v>1159</v>
      </c>
      <c r="E764" s="7" t="s">
        <v>2739</v>
      </c>
      <c r="F764" s="3" t="str">
        <f>IFERROR(__xludf.DUMMYFUNCTION("REGEXREPLACE(E764,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64" s="7"/>
      <c r="H764" s="7" t="s">
        <v>16</v>
      </c>
      <c r="I764" s="1" t="s">
        <v>2740</v>
      </c>
      <c r="J764" s="7" t="s">
        <v>2741</v>
      </c>
      <c r="K764" s="1"/>
      <c r="L764" s="1" t="s">
        <v>20</v>
      </c>
      <c r="M764" s="1"/>
      <c r="N764" s="1"/>
      <c r="O764" s="1" t="str">
        <f t="shared" si="1"/>
        <v> = 'B16005C_001',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2" t="s">
        <v>10</v>
      </c>
      <c r="B765" s="1"/>
      <c r="C765" s="7" t="s">
        <v>1158</v>
      </c>
      <c r="D765" s="7" t="s">
        <v>1159</v>
      </c>
      <c r="E765" s="7" t="s">
        <v>2739</v>
      </c>
      <c r="F765" s="3" t="str">
        <f>IFERROR(__xludf.DUMMYFUNCTION("REGEXREPLACE(E765,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65" s="7"/>
      <c r="H765" s="7" t="s">
        <v>2676</v>
      </c>
      <c r="I765" s="1" t="s">
        <v>2742</v>
      </c>
      <c r="J765" s="7" t="s">
        <v>2743</v>
      </c>
      <c r="K765" s="1"/>
      <c r="L765" s="1" t="s">
        <v>2679</v>
      </c>
      <c r="M765" s="1"/>
      <c r="N765" s="1"/>
      <c r="O765" s="1" t="str">
        <f t="shared" si="1"/>
        <v> = 'B16005C_002',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2" t="s">
        <v>10</v>
      </c>
      <c r="B766" s="1"/>
      <c r="C766" s="7" t="s">
        <v>1158</v>
      </c>
      <c r="D766" s="7" t="s">
        <v>1159</v>
      </c>
      <c r="E766" s="7" t="s">
        <v>2739</v>
      </c>
      <c r="F766" s="3" t="str">
        <f>IFERROR(__xludf.DUMMYFUNCTION("REGEXREPLACE(E766,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66" s="7"/>
      <c r="H766" s="7" t="s">
        <v>2680</v>
      </c>
      <c r="I766" s="1" t="s">
        <v>2744</v>
      </c>
      <c r="J766" s="7" t="s">
        <v>2745</v>
      </c>
      <c r="K766" s="1"/>
      <c r="L766" s="1" t="s">
        <v>2683</v>
      </c>
      <c r="M766" s="1"/>
      <c r="N766" s="1"/>
      <c r="O766" s="1" t="str">
        <f t="shared" si="1"/>
        <v> = 'B16005C_003',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2" t="s">
        <v>10</v>
      </c>
      <c r="B767" s="1"/>
      <c r="C767" s="7" t="s">
        <v>1158</v>
      </c>
      <c r="D767" s="7" t="s">
        <v>1159</v>
      </c>
      <c r="E767" s="7" t="s">
        <v>2739</v>
      </c>
      <c r="F767" s="3" t="str">
        <f>IFERROR(__xludf.DUMMYFUNCTION("REGEXREPLACE(E767,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67" s="7"/>
      <c r="H767" s="7" t="s">
        <v>2684</v>
      </c>
      <c r="I767" s="1" t="s">
        <v>2746</v>
      </c>
      <c r="J767" s="7" t="s">
        <v>2747</v>
      </c>
      <c r="K767" s="1"/>
      <c r="L767" s="1" t="s">
        <v>2687</v>
      </c>
      <c r="M767" s="1"/>
      <c r="N767" s="1"/>
      <c r="O767" s="1" t="str">
        <f t="shared" si="1"/>
        <v> = 'B16005C_004',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2" t="s">
        <v>10</v>
      </c>
      <c r="B768" s="1"/>
      <c r="C768" s="7" t="s">
        <v>1158</v>
      </c>
      <c r="D768" s="7" t="s">
        <v>1159</v>
      </c>
      <c r="E768" s="7" t="s">
        <v>2739</v>
      </c>
      <c r="F768" s="3" t="str">
        <f>IFERROR(__xludf.DUMMYFUNCTION("REGEXREPLACE(E768,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68" s="7"/>
      <c r="H768" s="7" t="s">
        <v>2688</v>
      </c>
      <c r="I768" s="1" t="s">
        <v>2748</v>
      </c>
      <c r="J768" s="7" t="s">
        <v>2749</v>
      </c>
      <c r="K768" s="1"/>
      <c r="L768" s="1" t="s">
        <v>2691</v>
      </c>
      <c r="M768" s="1"/>
      <c r="N768" s="1"/>
      <c r="O768" s="1" t="str">
        <f t="shared" si="1"/>
        <v> = 'B16005C_005',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2" t="s">
        <v>10</v>
      </c>
      <c r="B769" s="1"/>
      <c r="C769" s="7" t="s">
        <v>1158</v>
      </c>
      <c r="D769" s="7" t="s">
        <v>1159</v>
      </c>
      <c r="E769" s="7" t="s">
        <v>2739</v>
      </c>
      <c r="F769" s="3" t="str">
        <f>IFERROR(__xludf.DUMMYFUNCTION("REGEXREPLACE(E769,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69" s="7"/>
      <c r="H769" s="7" t="s">
        <v>2692</v>
      </c>
      <c r="I769" s="1" t="s">
        <v>2750</v>
      </c>
      <c r="J769" s="7" t="s">
        <v>2751</v>
      </c>
      <c r="K769" s="1"/>
      <c r="L769" s="1" t="s">
        <v>2695</v>
      </c>
      <c r="M769" s="1"/>
      <c r="N769" s="1"/>
      <c r="O769" s="1" t="str">
        <f t="shared" si="1"/>
        <v> = 'B16005C_006',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2" t="s">
        <v>10</v>
      </c>
      <c r="B770" s="1"/>
      <c r="C770" s="7" t="s">
        <v>1158</v>
      </c>
      <c r="D770" s="7" t="s">
        <v>1159</v>
      </c>
      <c r="E770" s="7" t="s">
        <v>2739</v>
      </c>
      <c r="F770" s="3" t="str">
        <f>IFERROR(__xludf.DUMMYFUNCTION("REGEXREPLACE(E770,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70" s="7"/>
      <c r="H770" s="7" t="s">
        <v>2696</v>
      </c>
      <c r="I770" s="1" t="s">
        <v>2752</v>
      </c>
      <c r="J770" s="7" t="s">
        <v>2753</v>
      </c>
      <c r="K770" s="1"/>
      <c r="L770" s="1" t="s">
        <v>2699</v>
      </c>
      <c r="M770" s="1"/>
      <c r="N770" s="1"/>
      <c r="O770" s="1" t="str">
        <f t="shared" si="1"/>
        <v> = 'B16005C_007',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2" t="s">
        <v>10</v>
      </c>
      <c r="B771" s="1"/>
      <c r="C771" s="7" t="s">
        <v>1158</v>
      </c>
      <c r="D771" s="7" t="s">
        <v>1159</v>
      </c>
      <c r="E771" s="7" t="s">
        <v>2739</v>
      </c>
      <c r="F771" s="3" t="str">
        <f>IFERROR(__xludf.DUMMYFUNCTION("REGEXREPLACE(E771,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71" s="7"/>
      <c r="H771" s="7" t="s">
        <v>2700</v>
      </c>
      <c r="I771" s="1" t="s">
        <v>2754</v>
      </c>
      <c r="J771" s="7" t="s">
        <v>2755</v>
      </c>
      <c r="K771" s="1"/>
      <c r="L771" s="1" t="s">
        <v>2703</v>
      </c>
      <c r="M771" s="1"/>
      <c r="N771" s="1"/>
      <c r="O771" s="1" t="str">
        <f t="shared" si="1"/>
        <v> = 'B16005C_008',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2" t="s">
        <v>10</v>
      </c>
      <c r="B772" s="1"/>
      <c r="C772" s="7" t="s">
        <v>1158</v>
      </c>
      <c r="D772" s="7" t="s">
        <v>1159</v>
      </c>
      <c r="E772" s="7" t="s">
        <v>2739</v>
      </c>
      <c r="F772" s="3" t="str">
        <f>IFERROR(__xludf.DUMMYFUNCTION("REGEXREPLACE(E772,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72" s="7"/>
      <c r="H772" s="7" t="s">
        <v>2704</v>
      </c>
      <c r="I772" s="1" t="s">
        <v>2756</v>
      </c>
      <c r="J772" s="7" t="s">
        <v>2757</v>
      </c>
      <c r="K772" s="1"/>
      <c r="L772" s="1" t="s">
        <v>2707</v>
      </c>
      <c r="M772" s="1"/>
      <c r="N772" s="1"/>
      <c r="O772" s="1" t="str">
        <f t="shared" si="1"/>
        <v> = 'B16005C_009',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2" t="s">
        <v>10</v>
      </c>
      <c r="B773" s="1"/>
      <c r="C773" s="7" t="s">
        <v>1158</v>
      </c>
      <c r="D773" s="7" t="s">
        <v>1159</v>
      </c>
      <c r="E773" s="7" t="s">
        <v>2739</v>
      </c>
      <c r="F773" s="3" t="str">
        <f>IFERROR(__xludf.DUMMYFUNCTION("REGEXREPLACE(E773,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73" s="7"/>
      <c r="H773" s="7" t="s">
        <v>2708</v>
      </c>
      <c r="I773" s="1" t="s">
        <v>2758</v>
      </c>
      <c r="J773" s="7" t="s">
        <v>2759</v>
      </c>
      <c r="K773" s="1"/>
      <c r="L773" s="1" t="s">
        <v>2711</v>
      </c>
      <c r="M773" s="1"/>
      <c r="N773" s="1"/>
      <c r="O773" s="1" t="str">
        <f t="shared" si="1"/>
        <v> = 'B16005C_010',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2" t="s">
        <v>10</v>
      </c>
      <c r="B774" s="1"/>
      <c r="C774" s="7" t="s">
        <v>1158</v>
      </c>
      <c r="D774" s="7" t="s">
        <v>1159</v>
      </c>
      <c r="E774" s="7" t="s">
        <v>2739</v>
      </c>
      <c r="F774" s="3" t="str">
        <f>IFERROR(__xludf.DUMMYFUNCTION("REGEXREPLACE(E774, ""[^A-Za-z0-9]"", """")"),"NativitybyLanguageSpokenatHomebyAbilitytoSpeakEnglishforthePopulation5YearsandOverAmericanIndianandAlaskaNativeAlone")</f>
        <v>NativitybyLanguageSpokenatHomebyAbilitytoSpeakEnglishforthePopulation5YearsandOverAmericanIndianandAlaskaNativeAlone</v>
      </c>
      <c r="G774" s="7"/>
      <c r="H774" s="7" t="s">
        <v>2712</v>
      </c>
      <c r="I774" s="1" t="s">
        <v>2760</v>
      </c>
      <c r="J774" s="7" t="s">
        <v>2761</v>
      </c>
      <c r="K774" s="1"/>
      <c r="L774" s="1" t="s">
        <v>2715</v>
      </c>
      <c r="M774" s="1"/>
      <c r="N774" s="1"/>
      <c r="O774" s="1" t="str">
        <f t="shared" si="1"/>
        <v> = 'B16005C_011',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2" t="s">
        <v>10</v>
      </c>
      <c r="B775" s="1"/>
      <c r="C775" s="7" t="s">
        <v>1158</v>
      </c>
      <c r="D775" s="7" t="s">
        <v>1159</v>
      </c>
      <c r="E775" s="7" t="s">
        <v>2762</v>
      </c>
      <c r="F775" s="3" t="str">
        <f>IFERROR(__xludf.DUMMYFUNCTION("REGEXREPLACE(E775, ""[^A-Za-z0-9]"", """")"),"NativitybyLanguageSpokenatHomebyAbilitytoSpeakEnglishforthePopulation5YearsandOverAsianAlone")</f>
        <v>NativitybyLanguageSpokenatHomebyAbilitytoSpeakEnglishforthePopulation5YearsandOverAsianAlone</v>
      </c>
      <c r="G775" s="7"/>
      <c r="H775" s="7" t="s">
        <v>16</v>
      </c>
      <c r="I775" s="1" t="s">
        <v>2763</v>
      </c>
      <c r="J775" s="7" t="s">
        <v>2764</v>
      </c>
      <c r="K775" s="1"/>
      <c r="L775" s="1" t="s">
        <v>20</v>
      </c>
      <c r="M775" s="1"/>
      <c r="N775" s="1"/>
      <c r="O775" s="1" t="str">
        <f t="shared" si="1"/>
        <v> = 'B16005D_001',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2" t="s">
        <v>10</v>
      </c>
      <c r="B776" s="1"/>
      <c r="C776" s="7" t="s">
        <v>1158</v>
      </c>
      <c r="D776" s="7" t="s">
        <v>1159</v>
      </c>
      <c r="E776" s="7" t="s">
        <v>2762</v>
      </c>
      <c r="F776" s="3" t="str">
        <f>IFERROR(__xludf.DUMMYFUNCTION("REGEXREPLACE(E776, ""[^A-Za-z0-9]"", """")"),"NativitybyLanguageSpokenatHomebyAbilitytoSpeakEnglishforthePopulation5YearsandOverAsianAlone")</f>
        <v>NativitybyLanguageSpokenatHomebyAbilitytoSpeakEnglishforthePopulation5YearsandOverAsianAlone</v>
      </c>
      <c r="G776" s="7"/>
      <c r="H776" s="7" t="s">
        <v>2676</v>
      </c>
      <c r="I776" s="1" t="s">
        <v>2765</v>
      </c>
      <c r="J776" s="7" t="s">
        <v>2766</v>
      </c>
      <c r="K776" s="1"/>
      <c r="L776" s="1" t="s">
        <v>2679</v>
      </c>
      <c r="M776" s="1"/>
      <c r="N776" s="1"/>
      <c r="O776" s="1" t="str">
        <f t="shared" si="1"/>
        <v> = 'B16005D_002',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2" t="s">
        <v>10</v>
      </c>
      <c r="B777" s="1"/>
      <c r="C777" s="7" t="s">
        <v>1158</v>
      </c>
      <c r="D777" s="7" t="s">
        <v>1159</v>
      </c>
      <c r="E777" s="7" t="s">
        <v>2762</v>
      </c>
      <c r="F777" s="3" t="str">
        <f>IFERROR(__xludf.DUMMYFUNCTION("REGEXREPLACE(E777, ""[^A-Za-z0-9]"", """")"),"NativitybyLanguageSpokenatHomebyAbilitytoSpeakEnglishforthePopulation5YearsandOverAsianAlone")</f>
        <v>NativitybyLanguageSpokenatHomebyAbilitytoSpeakEnglishforthePopulation5YearsandOverAsianAlone</v>
      </c>
      <c r="G777" s="7"/>
      <c r="H777" s="7" t="s">
        <v>2680</v>
      </c>
      <c r="I777" s="1" t="s">
        <v>2767</v>
      </c>
      <c r="J777" s="7" t="s">
        <v>2768</v>
      </c>
      <c r="K777" s="1"/>
      <c r="L777" s="1" t="s">
        <v>2683</v>
      </c>
      <c r="M777" s="1"/>
      <c r="N777" s="1"/>
      <c r="O777" s="1" t="str">
        <f t="shared" si="1"/>
        <v> = 'B16005D_003',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2" t="s">
        <v>10</v>
      </c>
      <c r="B778" s="1"/>
      <c r="C778" s="7" t="s">
        <v>1158</v>
      </c>
      <c r="D778" s="7" t="s">
        <v>1159</v>
      </c>
      <c r="E778" s="7" t="s">
        <v>2762</v>
      </c>
      <c r="F778" s="3" t="str">
        <f>IFERROR(__xludf.DUMMYFUNCTION("REGEXREPLACE(E778, ""[^A-Za-z0-9]"", """")"),"NativitybyLanguageSpokenatHomebyAbilitytoSpeakEnglishforthePopulation5YearsandOverAsianAlone")</f>
        <v>NativitybyLanguageSpokenatHomebyAbilitytoSpeakEnglishforthePopulation5YearsandOverAsianAlone</v>
      </c>
      <c r="G778" s="7"/>
      <c r="H778" s="7" t="s">
        <v>2684</v>
      </c>
      <c r="I778" s="1" t="s">
        <v>2769</v>
      </c>
      <c r="J778" s="7" t="s">
        <v>2770</v>
      </c>
      <c r="K778" s="1"/>
      <c r="L778" s="1" t="s">
        <v>2687</v>
      </c>
      <c r="M778" s="1"/>
      <c r="N778" s="1"/>
      <c r="O778" s="1" t="str">
        <f t="shared" si="1"/>
        <v> = 'B16005D_004',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2" t="s">
        <v>10</v>
      </c>
      <c r="B779" s="1"/>
      <c r="C779" s="7" t="s">
        <v>1158</v>
      </c>
      <c r="D779" s="7" t="s">
        <v>1159</v>
      </c>
      <c r="E779" s="7" t="s">
        <v>2762</v>
      </c>
      <c r="F779" s="3" t="str">
        <f>IFERROR(__xludf.DUMMYFUNCTION("REGEXREPLACE(E779, ""[^A-Za-z0-9]"", """")"),"NativitybyLanguageSpokenatHomebyAbilitytoSpeakEnglishforthePopulation5YearsandOverAsianAlone")</f>
        <v>NativitybyLanguageSpokenatHomebyAbilitytoSpeakEnglishforthePopulation5YearsandOverAsianAlone</v>
      </c>
      <c r="G779" s="7"/>
      <c r="H779" s="7" t="s">
        <v>2688</v>
      </c>
      <c r="I779" s="1" t="s">
        <v>2771</v>
      </c>
      <c r="J779" s="7" t="s">
        <v>2772</v>
      </c>
      <c r="K779" s="1"/>
      <c r="L779" s="1" t="s">
        <v>2691</v>
      </c>
      <c r="M779" s="1"/>
      <c r="N779" s="1"/>
      <c r="O779" s="1" t="str">
        <f t="shared" si="1"/>
        <v> = 'B16005D_005',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2" t="s">
        <v>10</v>
      </c>
      <c r="B780" s="1"/>
      <c r="C780" s="7" t="s">
        <v>1158</v>
      </c>
      <c r="D780" s="7" t="s">
        <v>1159</v>
      </c>
      <c r="E780" s="7" t="s">
        <v>2762</v>
      </c>
      <c r="F780" s="3" t="str">
        <f>IFERROR(__xludf.DUMMYFUNCTION("REGEXREPLACE(E780, ""[^A-Za-z0-9]"", """")"),"NativitybyLanguageSpokenatHomebyAbilitytoSpeakEnglishforthePopulation5YearsandOverAsianAlone")</f>
        <v>NativitybyLanguageSpokenatHomebyAbilitytoSpeakEnglishforthePopulation5YearsandOverAsianAlone</v>
      </c>
      <c r="G780" s="7"/>
      <c r="H780" s="7" t="s">
        <v>2692</v>
      </c>
      <c r="I780" s="1" t="s">
        <v>2773</v>
      </c>
      <c r="J780" s="7" t="s">
        <v>2774</v>
      </c>
      <c r="K780" s="1"/>
      <c r="L780" s="1" t="s">
        <v>2695</v>
      </c>
      <c r="M780" s="1"/>
      <c r="N780" s="1"/>
      <c r="O780" s="1" t="str">
        <f t="shared" si="1"/>
        <v> = 'B16005D_006',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2" t="s">
        <v>10</v>
      </c>
      <c r="B781" s="1"/>
      <c r="C781" s="7" t="s">
        <v>1158</v>
      </c>
      <c r="D781" s="7" t="s">
        <v>1159</v>
      </c>
      <c r="E781" s="7" t="s">
        <v>2762</v>
      </c>
      <c r="F781" s="3" t="str">
        <f>IFERROR(__xludf.DUMMYFUNCTION("REGEXREPLACE(E781, ""[^A-Za-z0-9]"", """")"),"NativitybyLanguageSpokenatHomebyAbilitytoSpeakEnglishforthePopulation5YearsandOverAsianAlone")</f>
        <v>NativitybyLanguageSpokenatHomebyAbilitytoSpeakEnglishforthePopulation5YearsandOverAsianAlone</v>
      </c>
      <c r="G781" s="7"/>
      <c r="H781" s="7" t="s">
        <v>2696</v>
      </c>
      <c r="I781" s="1" t="s">
        <v>2775</v>
      </c>
      <c r="J781" s="7" t="s">
        <v>2776</v>
      </c>
      <c r="K781" s="1"/>
      <c r="L781" s="1" t="s">
        <v>2699</v>
      </c>
      <c r="M781" s="1"/>
      <c r="N781" s="1"/>
      <c r="O781" s="1" t="str">
        <f t="shared" si="1"/>
        <v> = 'B16005D_007',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2" t="s">
        <v>10</v>
      </c>
      <c r="B782" s="1"/>
      <c r="C782" s="7" t="s">
        <v>1158</v>
      </c>
      <c r="D782" s="7" t="s">
        <v>1159</v>
      </c>
      <c r="E782" s="7" t="s">
        <v>2762</v>
      </c>
      <c r="F782" s="3" t="str">
        <f>IFERROR(__xludf.DUMMYFUNCTION("REGEXREPLACE(E782, ""[^A-Za-z0-9]"", """")"),"NativitybyLanguageSpokenatHomebyAbilitytoSpeakEnglishforthePopulation5YearsandOverAsianAlone")</f>
        <v>NativitybyLanguageSpokenatHomebyAbilitytoSpeakEnglishforthePopulation5YearsandOverAsianAlone</v>
      </c>
      <c r="G782" s="7"/>
      <c r="H782" s="7" t="s">
        <v>2700</v>
      </c>
      <c r="I782" s="1" t="s">
        <v>2777</v>
      </c>
      <c r="J782" s="7" t="s">
        <v>2778</v>
      </c>
      <c r="K782" s="1"/>
      <c r="L782" s="1" t="s">
        <v>2703</v>
      </c>
      <c r="M782" s="1"/>
      <c r="N782" s="1"/>
      <c r="O782" s="1" t="str">
        <f t="shared" si="1"/>
        <v> = 'B16005D_008',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2" t="s">
        <v>10</v>
      </c>
      <c r="B783" s="1"/>
      <c r="C783" s="7" t="s">
        <v>1158</v>
      </c>
      <c r="D783" s="7" t="s">
        <v>1159</v>
      </c>
      <c r="E783" s="7" t="s">
        <v>2762</v>
      </c>
      <c r="F783" s="3" t="str">
        <f>IFERROR(__xludf.DUMMYFUNCTION("REGEXREPLACE(E783, ""[^A-Za-z0-9]"", """")"),"NativitybyLanguageSpokenatHomebyAbilitytoSpeakEnglishforthePopulation5YearsandOverAsianAlone")</f>
        <v>NativitybyLanguageSpokenatHomebyAbilitytoSpeakEnglishforthePopulation5YearsandOverAsianAlone</v>
      </c>
      <c r="G783" s="7"/>
      <c r="H783" s="7" t="s">
        <v>2704</v>
      </c>
      <c r="I783" s="1" t="s">
        <v>2779</v>
      </c>
      <c r="J783" s="7" t="s">
        <v>2780</v>
      </c>
      <c r="K783" s="1"/>
      <c r="L783" s="1" t="s">
        <v>2707</v>
      </c>
      <c r="M783" s="1"/>
      <c r="N783" s="1"/>
      <c r="O783" s="1" t="str">
        <f t="shared" si="1"/>
        <v> = 'B16005D_009',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2" t="s">
        <v>10</v>
      </c>
      <c r="B784" s="1"/>
      <c r="C784" s="7" t="s">
        <v>1158</v>
      </c>
      <c r="D784" s="7" t="s">
        <v>1159</v>
      </c>
      <c r="E784" s="7" t="s">
        <v>2762</v>
      </c>
      <c r="F784" s="3" t="str">
        <f>IFERROR(__xludf.DUMMYFUNCTION("REGEXREPLACE(E784, ""[^A-Za-z0-9]"", """")"),"NativitybyLanguageSpokenatHomebyAbilitytoSpeakEnglishforthePopulation5YearsandOverAsianAlone")</f>
        <v>NativitybyLanguageSpokenatHomebyAbilitytoSpeakEnglishforthePopulation5YearsandOverAsianAlone</v>
      </c>
      <c r="G784" s="7"/>
      <c r="H784" s="7" t="s">
        <v>2708</v>
      </c>
      <c r="I784" s="1" t="s">
        <v>2781</v>
      </c>
      <c r="J784" s="7" t="s">
        <v>2782</v>
      </c>
      <c r="K784" s="1"/>
      <c r="L784" s="1" t="s">
        <v>2711</v>
      </c>
      <c r="M784" s="1"/>
      <c r="N784" s="1"/>
      <c r="O784" s="1" t="str">
        <f t="shared" si="1"/>
        <v> = 'B16005D_010',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2" t="s">
        <v>10</v>
      </c>
      <c r="B785" s="1"/>
      <c r="C785" s="7" t="s">
        <v>1158</v>
      </c>
      <c r="D785" s="7" t="s">
        <v>1159</v>
      </c>
      <c r="E785" s="7" t="s">
        <v>2762</v>
      </c>
      <c r="F785" s="3" t="str">
        <f>IFERROR(__xludf.DUMMYFUNCTION("REGEXREPLACE(E785, ""[^A-Za-z0-9]"", """")"),"NativitybyLanguageSpokenatHomebyAbilitytoSpeakEnglishforthePopulation5YearsandOverAsianAlone")</f>
        <v>NativitybyLanguageSpokenatHomebyAbilitytoSpeakEnglishforthePopulation5YearsandOverAsianAlone</v>
      </c>
      <c r="G785" s="7"/>
      <c r="H785" s="7" t="s">
        <v>2712</v>
      </c>
      <c r="I785" s="1" t="s">
        <v>2783</v>
      </c>
      <c r="J785" s="7" t="s">
        <v>2784</v>
      </c>
      <c r="K785" s="1"/>
      <c r="L785" s="1" t="s">
        <v>2715</v>
      </c>
      <c r="M785" s="1"/>
      <c r="N785" s="1"/>
      <c r="O785" s="1" t="str">
        <f t="shared" si="1"/>
        <v> = 'B16005D_011',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2" t="s">
        <v>10</v>
      </c>
      <c r="B786" s="1"/>
      <c r="C786" s="7" t="s">
        <v>1158</v>
      </c>
      <c r="D786" s="7" t="s">
        <v>1159</v>
      </c>
      <c r="E786" s="7" t="s">
        <v>2785</v>
      </c>
      <c r="F786" s="3" t="str">
        <f>IFERROR(__xludf.DUMMYFUNCTION("REGEXREPLACE(E786,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86" s="7"/>
      <c r="H786" s="7" t="s">
        <v>16</v>
      </c>
      <c r="I786" s="1" t="s">
        <v>2786</v>
      </c>
      <c r="J786" s="7" t="s">
        <v>2787</v>
      </c>
      <c r="K786" s="1"/>
      <c r="L786" s="1" t="s">
        <v>20</v>
      </c>
      <c r="M786" s="1"/>
      <c r="N786" s="1"/>
      <c r="O786" s="1" t="str">
        <f t="shared" si="1"/>
        <v> = 'B16005E_001',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2" t="s">
        <v>10</v>
      </c>
      <c r="B787" s="1"/>
      <c r="C787" s="7" t="s">
        <v>1158</v>
      </c>
      <c r="D787" s="7" t="s">
        <v>1159</v>
      </c>
      <c r="E787" s="7" t="s">
        <v>2785</v>
      </c>
      <c r="F787" s="3" t="str">
        <f>IFERROR(__xludf.DUMMYFUNCTION("REGEXREPLACE(E787,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87" s="7"/>
      <c r="H787" s="7" t="s">
        <v>2676</v>
      </c>
      <c r="I787" s="1" t="s">
        <v>2788</v>
      </c>
      <c r="J787" s="7" t="s">
        <v>2789</v>
      </c>
      <c r="K787" s="1"/>
      <c r="L787" s="1" t="s">
        <v>2679</v>
      </c>
      <c r="M787" s="1"/>
      <c r="N787" s="1"/>
      <c r="O787" s="1" t="str">
        <f t="shared" si="1"/>
        <v> = 'B16005E_002',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2" t="s">
        <v>10</v>
      </c>
      <c r="B788" s="1"/>
      <c r="C788" s="7" t="s">
        <v>1158</v>
      </c>
      <c r="D788" s="7" t="s">
        <v>1159</v>
      </c>
      <c r="E788" s="7" t="s">
        <v>2785</v>
      </c>
      <c r="F788" s="3" t="str">
        <f>IFERROR(__xludf.DUMMYFUNCTION("REGEXREPLACE(E788,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88" s="7"/>
      <c r="H788" s="7" t="s">
        <v>2680</v>
      </c>
      <c r="I788" s="1" t="s">
        <v>2790</v>
      </c>
      <c r="J788" s="7" t="s">
        <v>2791</v>
      </c>
      <c r="K788" s="1"/>
      <c r="L788" s="1" t="s">
        <v>2683</v>
      </c>
      <c r="M788" s="1"/>
      <c r="N788" s="1"/>
      <c r="O788" s="1" t="str">
        <f t="shared" si="1"/>
        <v> = 'B16005E_003',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2" t="s">
        <v>10</v>
      </c>
      <c r="B789" s="1"/>
      <c r="C789" s="7" t="s">
        <v>1158</v>
      </c>
      <c r="D789" s="7" t="s">
        <v>1159</v>
      </c>
      <c r="E789" s="7" t="s">
        <v>2785</v>
      </c>
      <c r="F789" s="3" t="str">
        <f>IFERROR(__xludf.DUMMYFUNCTION("REGEXREPLACE(E789,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89" s="7"/>
      <c r="H789" s="7" t="s">
        <v>2684</v>
      </c>
      <c r="I789" s="1" t="s">
        <v>2792</v>
      </c>
      <c r="J789" s="7" t="s">
        <v>2793</v>
      </c>
      <c r="K789" s="1"/>
      <c r="L789" s="1" t="s">
        <v>2687</v>
      </c>
      <c r="M789" s="1"/>
      <c r="N789" s="1"/>
      <c r="O789" s="1" t="str">
        <f t="shared" si="1"/>
        <v> = 'B16005E_004',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2" t="s">
        <v>10</v>
      </c>
      <c r="B790" s="1"/>
      <c r="C790" s="7" t="s">
        <v>1158</v>
      </c>
      <c r="D790" s="7" t="s">
        <v>1159</v>
      </c>
      <c r="E790" s="7" t="s">
        <v>2785</v>
      </c>
      <c r="F790" s="3" t="str">
        <f>IFERROR(__xludf.DUMMYFUNCTION("REGEXREPLACE(E790,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0" s="7"/>
      <c r="H790" s="7" t="s">
        <v>2688</v>
      </c>
      <c r="I790" s="1" t="s">
        <v>2794</v>
      </c>
      <c r="J790" s="7" t="s">
        <v>2795</v>
      </c>
      <c r="K790" s="1"/>
      <c r="L790" s="1" t="s">
        <v>2691</v>
      </c>
      <c r="M790" s="1"/>
      <c r="N790" s="1"/>
      <c r="O790" s="1" t="str">
        <f t="shared" si="1"/>
        <v> = 'B16005E_005',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2" t="s">
        <v>10</v>
      </c>
      <c r="B791" s="1"/>
      <c r="C791" s="7" t="s">
        <v>1158</v>
      </c>
      <c r="D791" s="7" t="s">
        <v>1159</v>
      </c>
      <c r="E791" s="7" t="s">
        <v>2785</v>
      </c>
      <c r="F791" s="3" t="str">
        <f>IFERROR(__xludf.DUMMYFUNCTION("REGEXREPLACE(E791,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1" s="7"/>
      <c r="H791" s="7" t="s">
        <v>2692</v>
      </c>
      <c r="I791" s="1" t="s">
        <v>2796</v>
      </c>
      <c r="J791" s="7" t="s">
        <v>2797</v>
      </c>
      <c r="K791" s="1"/>
      <c r="L791" s="1" t="s">
        <v>2695</v>
      </c>
      <c r="M791" s="1"/>
      <c r="N791" s="1"/>
      <c r="O791" s="1" t="str">
        <f t="shared" si="1"/>
        <v> = 'B16005E_006',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2" t="s">
        <v>10</v>
      </c>
      <c r="B792" s="1"/>
      <c r="C792" s="7" t="s">
        <v>1158</v>
      </c>
      <c r="D792" s="7" t="s">
        <v>1159</v>
      </c>
      <c r="E792" s="7" t="s">
        <v>2785</v>
      </c>
      <c r="F792" s="3" t="str">
        <f>IFERROR(__xludf.DUMMYFUNCTION("REGEXREPLACE(E792,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2" s="7"/>
      <c r="H792" s="7" t="s">
        <v>2696</v>
      </c>
      <c r="I792" s="1" t="s">
        <v>2798</v>
      </c>
      <c r="J792" s="7" t="s">
        <v>2799</v>
      </c>
      <c r="K792" s="1"/>
      <c r="L792" s="1" t="s">
        <v>2699</v>
      </c>
      <c r="M792" s="1"/>
      <c r="N792" s="1"/>
      <c r="O792" s="1" t="str">
        <f t="shared" si="1"/>
        <v> = 'B16005E_007',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2" t="s">
        <v>10</v>
      </c>
      <c r="B793" s="1"/>
      <c r="C793" s="7" t="s">
        <v>1158</v>
      </c>
      <c r="D793" s="7" t="s">
        <v>1159</v>
      </c>
      <c r="E793" s="7" t="s">
        <v>2785</v>
      </c>
      <c r="F793" s="3" t="str">
        <f>IFERROR(__xludf.DUMMYFUNCTION("REGEXREPLACE(E793,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3" s="7"/>
      <c r="H793" s="7" t="s">
        <v>2700</v>
      </c>
      <c r="I793" s="1" t="s">
        <v>2800</v>
      </c>
      <c r="J793" s="7" t="s">
        <v>2801</v>
      </c>
      <c r="K793" s="1"/>
      <c r="L793" s="1" t="s">
        <v>2703</v>
      </c>
      <c r="M793" s="1"/>
      <c r="N793" s="1"/>
      <c r="O793" s="1" t="str">
        <f t="shared" si="1"/>
        <v> = 'B16005E_008',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2" t="s">
        <v>10</v>
      </c>
      <c r="B794" s="1"/>
      <c r="C794" s="7" t="s">
        <v>1158</v>
      </c>
      <c r="D794" s="7" t="s">
        <v>1159</v>
      </c>
      <c r="E794" s="7" t="s">
        <v>2785</v>
      </c>
      <c r="F794" s="3" t="str">
        <f>IFERROR(__xludf.DUMMYFUNCTION("REGEXREPLACE(E794,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4" s="7"/>
      <c r="H794" s="7" t="s">
        <v>2704</v>
      </c>
      <c r="I794" s="1" t="s">
        <v>2802</v>
      </c>
      <c r="J794" s="7" t="s">
        <v>2803</v>
      </c>
      <c r="K794" s="1"/>
      <c r="L794" s="1" t="s">
        <v>2707</v>
      </c>
      <c r="M794" s="1"/>
      <c r="N794" s="1"/>
      <c r="O794" s="1" t="str">
        <f t="shared" si="1"/>
        <v> = 'B16005E_009',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2" t="s">
        <v>10</v>
      </c>
      <c r="B795" s="1"/>
      <c r="C795" s="7" t="s">
        <v>1158</v>
      </c>
      <c r="D795" s="7" t="s">
        <v>1159</v>
      </c>
      <c r="E795" s="7" t="s">
        <v>2785</v>
      </c>
      <c r="F795" s="3" t="str">
        <f>IFERROR(__xludf.DUMMYFUNCTION("REGEXREPLACE(E795,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5" s="7"/>
      <c r="H795" s="7" t="s">
        <v>2708</v>
      </c>
      <c r="I795" s="1" t="s">
        <v>2804</v>
      </c>
      <c r="J795" s="7" t="s">
        <v>2805</v>
      </c>
      <c r="K795" s="1"/>
      <c r="L795" s="1" t="s">
        <v>2711</v>
      </c>
      <c r="M795" s="1"/>
      <c r="N795" s="1"/>
      <c r="O795" s="1" t="str">
        <f t="shared" si="1"/>
        <v> = 'B16005E_010',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2" t="s">
        <v>10</v>
      </c>
      <c r="B796" s="1"/>
      <c r="C796" s="7" t="s">
        <v>1158</v>
      </c>
      <c r="D796" s="7" t="s">
        <v>1159</v>
      </c>
      <c r="E796" s="7" t="s">
        <v>2785</v>
      </c>
      <c r="F796" s="3" t="str">
        <f>IFERROR(__xludf.DUMMYFUNCTION("REGEXREPLACE(E796, ""[^A-Za-z0-9]"", """")"),"NativitybyLanguageSpokenatHomebyAbilitytoSpeakEnglishforthePopulation5YearsandOverNativeHawaiianandOtherPacificIslanderAlone")</f>
        <v>NativitybyLanguageSpokenatHomebyAbilitytoSpeakEnglishforthePopulation5YearsandOverNativeHawaiianandOtherPacificIslanderAlone</v>
      </c>
      <c r="G796" s="7"/>
      <c r="H796" s="7" t="s">
        <v>2712</v>
      </c>
      <c r="I796" s="1" t="s">
        <v>2806</v>
      </c>
      <c r="J796" s="7" t="s">
        <v>2807</v>
      </c>
      <c r="K796" s="1"/>
      <c r="L796" s="1" t="s">
        <v>2715</v>
      </c>
      <c r="M796" s="1"/>
      <c r="N796" s="1"/>
      <c r="O796" s="1" t="str">
        <f t="shared" si="1"/>
        <v> = 'B16005E_011',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2" t="s">
        <v>10</v>
      </c>
      <c r="B797" s="1"/>
      <c r="C797" s="7" t="s">
        <v>1158</v>
      </c>
      <c r="D797" s="7" t="s">
        <v>1159</v>
      </c>
      <c r="E797" s="7" t="s">
        <v>2808</v>
      </c>
      <c r="F797" s="3" t="str">
        <f>IFERROR(__xludf.DUMMYFUNCTION("REGEXREPLACE(E797, ""[^A-Za-z0-9]"", """")"),"NativitybyLanguageSpokenatHomebyAbilitytoSpeakEnglishforthePopulation5YearsandOverSomeOtherRaceAlone")</f>
        <v>NativitybyLanguageSpokenatHomebyAbilitytoSpeakEnglishforthePopulation5YearsandOverSomeOtherRaceAlone</v>
      </c>
      <c r="G797" s="7"/>
      <c r="H797" s="7" t="s">
        <v>16</v>
      </c>
      <c r="I797" s="1" t="s">
        <v>2809</v>
      </c>
      <c r="J797" s="7" t="s">
        <v>2810</v>
      </c>
      <c r="K797" s="1"/>
      <c r="L797" s="1" t="s">
        <v>20</v>
      </c>
      <c r="M797" s="1"/>
      <c r="N797" s="1"/>
      <c r="O797" s="1" t="str">
        <f t="shared" si="1"/>
        <v> = 'B16005F_001',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2" t="s">
        <v>10</v>
      </c>
      <c r="B798" s="1"/>
      <c r="C798" s="7" t="s">
        <v>1158</v>
      </c>
      <c r="D798" s="7" t="s">
        <v>1159</v>
      </c>
      <c r="E798" s="7" t="s">
        <v>2808</v>
      </c>
      <c r="F798" s="3" t="str">
        <f>IFERROR(__xludf.DUMMYFUNCTION("REGEXREPLACE(E798, ""[^A-Za-z0-9]"", """")"),"NativitybyLanguageSpokenatHomebyAbilitytoSpeakEnglishforthePopulation5YearsandOverSomeOtherRaceAlone")</f>
        <v>NativitybyLanguageSpokenatHomebyAbilitytoSpeakEnglishforthePopulation5YearsandOverSomeOtherRaceAlone</v>
      </c>
      <c r="G798" s="7"/>
      <c r="H798" s="7" t="s">
        <v>2676</v>
      </c>
      <c r="I798" s="1" t="s">
        <v>2811</v>
      </c>
      <c r="J798" s="7" t="s">
        <v>2812</v>
      </c>
      <c r="K798" s="1"/>
      <c r="L798" s="1" t="s">
        <v>2679</v>
      </c>
      <c r="M798" s="1"/>
      <c r="N798" s="1"/>
      <c r="O798" s="1" t="str">
        <f t="shared" si="1"/>
        <v> = 'B16005F_002',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2" t="s">
        <v>10</v>
      </c>
      <c r="B799" s="1"/>
      <c r="C799" s="7" t="s">
        <v>1158</v>
      </c>
      <c r="D799" s="7" t="s">
        <v>1159</v>
      </c>
      <c r="E799" s="7" t="s">
        <v>2808</v>
      </c>
      <c r="F799" s="3" t="str">
        <f>IFERROR(__xludf.DUMMYFUNCTION("REGEXREPLACE(E799, ""[^A-Za-z0-9]"", """")"),"NativitybyLanguageSpokenatHomebyAbilitytoSpeakEnglishforthePopulation5YearsandOverSomeOtherRaceAlone")</f>
        <v>NativitybyLanguageSpokenatHomebyAbilitytoSpeakEnglishforthePopulation5YearsandOverSomeOtherRaceAlone</v>
      </c>
      <c r="G799" s="7"/>
      <c r="H799" s="7" t="s">
        <v>2680</v>
      </c>
      <c r="I799" s="1" t="s">
        <v>2813</v>
      </c>
      <c r="J799" s="7" t="s">
        <v>2814</v>
      </c>
      <c r="K799" s="1"/>
      <c r="L799" s="1" t="s">
        <v>2683</v>
      </c>
      <c r="M799" s="1"/>
      <c r="N799" s="1"/>
      <c r="O799" s="1" t="str">
        <f t="shared" si="1"/>
        <v> = 'B16005F_003',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2" t="s">
        <v>10</v>
      </c>
      <c r="B800" s="1"/>
      <c r="C800" s="7" t="s">
        <v>1158</v>
      </c>
      <c r="D800" s="7" t="s">
        <v>1159</v>
      </c>
      <c r="E800" s="7" t="s">
        <v>2808</v>
      </c>
      <c r="F800" s="3" t="str">
        <f>IFERROR(__xludf.DUMMYFUNCTION("REGEXREPLACE(E800, ""[^A-Za-z0-9]"", """")"),"NativitybyLanguageSpokenatHomebyAbilitytoSpeakEnglishforthePopulation5YearsandOverSomeOtherRaceAlone")</f>
        <v>NativitybyLanguageSpokenatHomebyAbilitytoSpeakEnglishforthePopulation5YearsandOverSomeOtherRaceAlone</v>
      </c>
      <c r="G800" s="7"/>
      <c r="H800" s="7" t="s">
        <v>2684</v>
      </c>
      <c r="I800" s="1" t="s">
        <v>2815</v>
      </c>
      <c r="J800" s="7" t="s">
        <v>2816</v>
      </c>
      <c r="K800" s="1"/>
      <c r="L800" s="1" t="s">
        <v>2687</v>
      </c>
      <c r="M800" s="1"/>
      <c r="N800" s="1"/>
      <c r="O800" s="1" t="str">
        <f t="shared" si="1"/>
        <v> = 'B16005F_004',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2" t="s">
        <v>10</v>
      </c>
      <c r="B801" s="1"/>
      <c r="C801" s="7" t="s">
        <v>1158</v>
      </c>
      <c r="D801" s="7" t="s">
        <v>1159</v>
      </c>
      <c r="E801" s="7" t="s">
        <v>2808</v>
      </c>
      <c r="F801" s="3" t="str">
        <f>IFERROR(__xludf.DUMMYFUNCTION("REGEXREPLACE(E801, ""[^A-Za-z0-9]"", """")"),"NativitybyLanguageSpokenatHomebyAbilitytoSpeakEnglishforthePopulation5YearsandOverSomeOtherRaceAlone")</f>
        <v>NativitybyLanguageSpokenatHomebyAbilitytoSpeakEnglishforthePopulation5YearsandOverSomeOtherRaceAlone</v>
      </c>
      <c r="G801" s="7"/>
      <c r="H801" s="7" t="s">
        <v>2688</v>
      </c>
      <c r="I801" s="1" t="s">
        <v>2817</v>
      </c>
      <c r="J801" s="7" t="s">
        <v>2818</v>
      </c>
      <c r="K801" s="1"/>
      <c r="L801" s="1" t="s">
        <v>2691</v>
      </c>
      <c r="M801" s="1"/>
      <c r="N801" s="1"/>
      <c r="O801" s="1" t="str">
        <f t="shared" si="1"/>
        <v> = 'B16005F_005',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2" t="s">
        <v>10</v>
      </c>
      <c r="B802" s="1"/>
      <c r="C802" s="7" t="s">
        <v>1158</v>
      </c>
      <c r="D802" s="7" t="s">
        <v>1159</v>
      </c>
      <c r="E802" s="7" t="s">
        <v>2808</v>
      </c>
      <c r="F802" s="3" t="str">
        <f>IFERROR(__xludf.DUMMYFUNCTION("REGEXREPLACE(E802, ""[^A-Za-z0-9]"", """")"),"NativitybyLanguageSpokenatHomebyAbilitytoSpeakEnglishforthePopulation5YearsandOverSomeOtherRaceAlone")</f>
        <v>NativitybyLanguageSpokenatHomebyAbilitytoSpeakEnglishforthePopulation5YearsandOverSomeOtherRaceAlone</v>
      </c>
      <c r="G802" s="7"/>
      <c r="H802" s="7" t="s">
        <v>2692</v>
      </c>
      <c r="I802" s="1" t="s">
        <v>2819</v>
      </c>
      <c r="J802" s="7" t="s">
        <v>2820</v>
      </c>
      <c r="K802" s="1"/>
      <c r="L802" s="1" t="s">
        <v>2695</v>
      </c>
      <c r="M802" s="1"/>
      <c r="N802" s="1"/>
      <c r="O802" s="1" t="str">
        <f t="shared" si="1"/>
        <v> = 'B16005F_006',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2" t="s">
        <v>10</v>
      </c>
      <c r="B803" s="1"/>
      <c r="C803" s="7" t="s">
        <v>1158</v>
      </c>
      <c r="D803" s="7" t="s">
        <v>1159</v>
      </c>
      <c r="E803" s="7" t="s">
        <v>2808</v>
      </c>
      <c r="F803" s="3" t="str">
        <f>IFERROR(__xludf.DUMMYFUNCTION("REGEXREPLACE(E803, ""[^A-Za-z0-9]"", """")"),"NativitybyLanguageSpokenatHomebyAbilitytoSpeakEnglishforthePopulation5YearsandOverSomeOtherRaceAlone")</f>
        <v>NativitybyLanguageSpokenatHomebyAbilitytoSpeakEnglishforthePopulation5YearsandOverSomeOtherRaceAlone</v>
      </c>
      <c r="G803" s="7"/>
      <c r="H803" s="7" t="s">
        <v>2696</v>
      </c>
      <c r="I803" s="1" t="s">
        <v>2821</v>
      </c>
      <c r="J803" s="7" t="s">
        <v>2822</v>
      </c>
      <c r="K803" s="1"/>
      <c r="L803" s="1" t="s">
        <v>2699</v>
      </c>
      <c r="M803" s="1"/>
      <c r="N803" s="1"/>
      <c r="O803" s="1" t="str">
        <f t="shared" si="1"/>
        <v> = 'B16005F_007',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2" t="s">
        <v>10</v>
      </c>
      <c r="B804" s="1"/>
      <c r="C804" s="7" t="s">
        <v>1158</v>
      </c>
      <c r="D804" s="7" t="s">
        <v>1159</v>
      </c>
      <c r="E804" s="7" t="s">
        <v>2808</v>
      </c>
      <c r="F804" s="3" t="str">
        <f>IFERROR(__xludf.DUMMYFUNCTION("REGEXREPLACE(E804, ""[^A-Za-z0-9]"", """")"),"NativitybyLanguageSpokenatHomebyAbilitytoSpeakEnglishforthePopulation5YearsandOverSomeOtherRaceAlone")</f>
        <v>NativitybyLanguageSpokenatHomebyAbilitytoSpeakEnglishforthePopulation5YearsandOverSomeOtherRaceAlone</v>
      </c>
      <c r="G804" s="7"/>
      <c r="H804" s="7" t="s">
        <v>2700</v>
      </c>
      <c r="I804" s="1" t="s">
        <v>2823</v>
      </c>
      <c r="J804" s="7" t="s">
        <v>2824</v>
      </c>
      <c r="K804" s="1"/>
      <c r="L804" s="1" t="s">
        <v>2703</v>
      </c>
      <c r="M804" s="1"/>
      <c r="N804" s="1"/>
      <c r="O804" s="1" t="str">
        <f t="shared" si="1"/>
        <v> = 'B16005F_008',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2" t="s">
        <v>10</v>
      </c>
      <c r="B805" s="1"/>
      <c r="C805" s="7" t="s">
        <v>1158</v>
      </c>
      <c r="D805" s="7" t="s">
        <v>1159</v>
      </c>
      <c r="E805" s="7" t="s">
        <v>2808</v>
      </c>
      <c r="F805" s="3" t="str">
        <f>IFERROR(__xludf.DUMMYFUNCTION("REGEXREPLACE(E805, ""[^A-Za-z0-9]"", """")"),"NativitybyLanguageSpokenatHomebyAbilitytoSpeakEnglishforthePopulation5YearsandOverSomeOtherRaceAlone")</f>
        <v>NativitybyLanguageSpokenatHomebyAbilitytoSpeakEnglishforthePopulation5YearsandOverSomeOtherRaceAlone</v>
      </c>
      <c r="G805" s="7"/>
      <c r="H805" s="7" t="s">
        <v>2704</v>
      </c>
      <c r="I805" s="1" t="s">
        <v>2825</v>
      </c>
      <c r="J805" s="7" t="s">
        <v>2826</v>
      </c>
      <c r="K805" s="1"/>
      <c r="L805" s="1" t="s">
        <v>2707</v>
      </c>
      <c r="M805" s="1"/>
      <c r="N805" s="1"/>
      <c r="O805" s="1" t="str">
        <f t="shared" si="1"/>
        <v> = 'B16005F_009',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2" t="s">
        <v>10</v>
      </c>
      <c r="B806" s="1"/>
      <c r="C806" s="7" t="s">
        <v>1158</v>
      </c>
      <c r="D806" s="7" t="s">
        <v>1159</v>
      </c>
      <c r="E806" s="7" t="s">
        <v>2808</v>
      </c>
      <c r="F806" s="3" t="str">
        <f>IFERROR(__xludf.DUMMYFUNCTION("REGEXREPLACE(E806, ""[^A-Za-z0-9]"", """")"),"NativitybyLanguageSpokenatHomebyAbilitytoSpeakEnglishforthePopulation5YearsandOverSomeOtherRaceAlone")</f>
        <v>NativitybyLanguageSpokenatHomebyAbilitytoSpeakEnglishforthePopulation5YearsandOverSomeOtherRaceAlone</v>
      </c>
      <c r="G806" s="7"/>
      <c r="H806" s="7" t="s">
        <v>2708</v>
      </c>
      <c r="I806" s="1" t="s">
        <v>2827</v>
      </c>
      <c r="J806" s="7" t="s">
        <v>2828</v>
      </c>
      <c r="K806" s="1"/>
      <c r="L806" s="1" t="s">
        <v>2711</v>
      </c>
      <c r="M806" s="1"/>
      <c r="N806" s="1"/>
      <c r="O806" s="1" t="str">
        <f t="shared" si="1"/>
        <v> = 'B16005F_010',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2" t="s">
        <v>10</v>
      </c>
      <c r="B807" s="1"/>
      <c r="C807" s="7" t="s">
        <v>1158</v>
      </c>
      <c r="D807" s="7" t="s">
        <v>1159</v>
      </c>
      <c r="E807" s="7" t="s">
        <v>2808</v>
      </c>
      <c r="F807" s="3" t="str">
        <f>IFERROR(__xludf.DUMMYFUNCTION("REGEXREPLACE(E807, ""[^A-Za-z0-9]"", """")"),"NativitybyLanguageSpokenatHomebyAbilitytoSpeakEnglishforthePopulation5YearsandOverSomeOtherRaceAlone")</f>
        <v>NativitybyLanguageSpokenatHomebyAbilitytoSpeakEnglishforthePopulation5YearsandOverSomeOtherRaceAlone</v>
      </c>
      <c r="G807" s="7"/>
      <c r="H807" s="7" t="s">
        <v>2712</v>
      </c>
      <c r="I807" s="1" t="s">
        <v>2829</v>
      </c>
      <c r="J807" s="7" t="s">
        <v>2830</v>
      </c>
      <c r="K807" s="1"/>
      <c r="L807" s="1" t="s">
        <v>2715</v>
      </c>
      <c r="M807" s="1"/>
      <c r="N807" s="1"/>
      <c r="O807" s="1" t="str">
        <f t="shared" si="1"/>
        <v> = 'B16005F_011',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2" t="s">
        <v>10</v>
      </c>
      <c r="B808" s="1"/>
      <c r="C808" s="7" t="s">
        <v>1158</v>
      </c>
      <c r="D808" s="7" t="s">
        <v>1159</v>
      </c>
      <c r="E808" s="7" t="s">
        <v>2831</v>
      </c>
      <c r="F808" s="3" t="str">
        <f>IFERROR(__xludf.DUMMYFUNCTION("REGEXREPLACE(E808, ""[^A-Za-z0-9]"", """")"),"NativitybyLanguageSpokenatHomebyAbilitytoSpeakEnglishforthePopulation5YearsandOverTwoorMoreRaces")</f>
        <v>NativitybyLanguageSpokenatHomebyAbilitytoSpeakEnglishforthePopulation5YearsandOverTwoorMoreRaces</v>
      </c>
      <c r="G808" s="7"/>
      <c r="H808" s="7" t="s">
        <v>16</v>
      </c>
      <c r="I808" s="1" t="s">
        <v>2832</v>
      </c>
      <c r="J808" s="7" t="s">
        <v>2833</v>
      </c>
      <c r="K808" s="1"/>
      <c r="L808" s="1" t="s">
        <v>20</v>
      </c>
      <c r="M808" s="1"/>
      <c r="N808" s="1"/>
      <c r="O808" s="1" t="str">
        <f t="shared" si="1"/>
        <v> = 'B16005G_001',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2" t="s">
        <v>10</v>
      </c>
      <c r="B809" s="1"/>
      <c r="C809" s="7" t="s">
        <v>1158</v>
      </c>
      <c r="D809" s="7" t="s">
        <v>1159</v>
      </c>
      <c r="E809" s="7" t="s">
        <v>2831</v>
      </c>
      <c r="F809" s="3" t="str">
        <f>IFERROR(__xludf.DUMMYFUNCTION("REGEXREPLACE(E809, ""[^A-Za-z0-9]"", """")"),"NativitybyLanguageSpokenatHomebyAbilitytoSpeakEnglishforthePopulation5YearsandOverTwoorMoreRaces")</f>
        <v>NativitybyLanguageSpokenatHomebyAbilitytoSpeakEnglishforthePopulation5YearsandOverTwoorMoreRaces</v>
      </c>
      <c r="G809" s="7"/>
      <c r="H809" s="7" t="s">
        <v>2676</v>
      </c>
      <c r="I809" s="1" t="s">
        <v>2834</v>
      </c>
      <c r="J809" s="7" t="s">
        <v>2835</v>
      </c>
      <c r="K809" s="1"/>
      <c r="L809" s="1" t="s">
        <v>2679</v>
      </c>
      <c r="M809" s="1"/>
      <c r="N809" s="1"/>
      <c r="O809" s="1" t="str">
        <f t="shared" si="1"/>
        <v> = 'B16005G_002',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2" t="s">
        <v>10</v>
      </c>
      <c r="B810" s="1"/>
      <c r="C810" s="7" t="s">
        <v>1158</v>
      </c>
      <c r="D810" s="7" t="s">
        <v>1159</v>
      </c>
      <c r="E810" s="7" t="s">
        <v>2831</v>
      </c>
      <c r="F810" s="3" t="str">
        <f>IFERROR(__xludf.DUMMYFUNCTION("REGEXREPLACE(E810, ""[^A-Za-z0-9]"", """")"),"NativitybyLanguageSpokenatHomebyAbilitytoSpeakEnglishforthePopulation5YearsandOverTwoorMoreRaces")</f>
        <v>NativitybyLanguageSpokenatHomebyAbilitytoSpeakEnglishforthePopulation5YearsandOverTwoorMoreRaces</v>
      </c>
      <c r="G810" s="7"/>
      <c r="H810" s="7" t="s">
        <v>2680</v>
      </c>
      <c r="I810" s="1" t="s">
        <v>2836</v>
      </c>
      <c r="J810" s="7" t="s">
        <v>2837</v>
      </c>
      <c r="K810" s="1"/>
      <c r="L810" s="1" t="s">
        <v>2683</v>
      </c>
      <c r="M810" s="1"/>
      <c r="N810" s="1"/>
      <c r="O810" s="1" t="str">
        <f t="shared" si="1"/>
        <v> = 'B16005G_003',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2" t="s">
        <v>10</v>
      </c>
      <c r="B811" s="1"/>
      <c r="C811" s="7" t="s">
        <v>1158</v>
      </c>
      <c r="D811" s="7" t="s">
        <v>1159</v>
      </c>
      <c r="E811" s="7" t="s">
        <v>2831</v>
      </c>
      <c r="F811" s="3" t="str">
        <f>IFERROR(__xludf.DUMMYFUNCTION("REGEXREPLACE(E811, ""[^A-Za-z0-9]"", """")"),"NativitybyLanguageSpokenatHomebyAbilitytoSpeakEnglishforthePopulation5YearsandOverTwoorMoreRaces")</f>
        <v>NativitybyLanguageSpokenatHomebyAbilitytoSpeakEnglishforthePopulation5YearsandOverTwoorMoreRaces</v>
      </c>
      <c r="G811" s="7"/>
      <c r="H811" s="7" t="s">
        <v>2684</v>
      </c>
      <c r="I811" s="1" t="s">
        <v>2838</v>
      </c>
      <c r="J811" s="7" t="s">
        <v>2839</v>
      </c>
      <c r="K811" s="1"/>
      <c r="L811" s="1" t="s">
        <v>2687</v>
      </c>
      <c r="M811" s="1"/>
      <c r="N811" s="1"/>
      <c r="O811" s="1" t="str">
        <f t="shared" si="1"/>
        <v> = 'B16005G_004',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2" t="s">
        <v>10</v>
      </c>
      <c r="B812" s="1"/>
      <c r="C812" s="7" t="s">
        <v>1158</v>
      </c>
      <c r="D812" s="7" t="s">
        <v>1159</v>
      </c>
      <c r="E812" s="7" t="s">
        <v>2831</v>
      </c>
      <c r="F812" s="3" t="str">
        <f>IFERROR(__xludf.DUMMYFUNCTION("REGEXREPLACE(E812, ""[^A-Za-z0-9]"", """")"),"NativitybyLanguageSpokenatHomebyAbilitytoSpeakEnglishforthePopulation5YearsandOverTwoorMoreRaces")</f>
        <v>NativitybyLanguageSpokenatHomebyAbilitytoSpeakEnglishforthePopulation5YearsandOverTwoorMoreRaces</v>
      </c>
      <c r="G812" s="7"/>
      <c r="H812" s="7" t="s">
        <v>2688</v>
      </c>
      <c r="I812" s="1" t="s">
        <v>2840</v>
      </c>
      <c r="J812" s="7" t="s">
        <v>2841</v>
      </c>
      <c r="K812" s="1"/>
      <c r="L812" s="1" t="s">
        <v>2691</v>
      </c>
      <c r="M812" s="1"/>
      <c r="N812" s="1"/>
      <c r="O812" s="1" t="str">
        <f t="shared" si="1"/>
        <v> = 'B16005G_005',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2" t="s">
        <v>10</v>
      </c>
      <c r="B813" s="1"/>
      <c r="C813" s="7" t="s">
        <v>1158</v>
      </c>
      <c r="D813" s="7" t="s">
        <v>1159</v>
      </c>
      <c r="E813" s="7" t="s">
        <v>2831</v>
      </c>
      <c r="F813" s="3" t="str">
        <f>IFERROR(__xludf.DUMMYFUNCTION("REGEXREPLACE(E813, ""[^A-Za-z0-9]"", """")"),"NativitybyLanguageSpokenatHomebyAbilitytoSpeakEnglishforthePopulation5YearsandOverTwoorMoreRaces")</f>
        <v>NativitybyLanguageSpokenatHomebyAbilitytoSpeakEnglishforthePopulation5YearsandOverTwoorMoreRaces</v>
      </c>
      <c r="G813" s="7"/>
      <c r="H813" s="7" t="s">
        <v>2692</v>
      </c>
      <c r="I813" s="1" t="s">
        <v>2842</v>
      </c>
      <c r="J813" s="7" t="s">
        <v>2843</v>
      </c>
      <c r="K813" s="1"/>
      <c r="L813" s="1" t="s">
        <v>2695</v>
      </c>
      <c r="M813" s="1"/>
      <c r="N813" s="1"/>
      <c r="O813" s="1" t="str">
        <f t="shared" si="1"/>
        <v> = 'B16005G_006',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2" t="s">
        <v>10</v>
      </c>
      <c r="B814" s="1"/>
      <c r="C814" s="7" t="s">
        <v>1158</v>
      </c>
      <c r="D814" s="7" t="s">
        <v>1159</v>
      </c>
      <c r="E814" s="7" t="s">
        <v>2831</v>
      </c>
      <c r="F814" s="3" t="str">
        <f>IFERROR(__xludf.DUMMYFUNCTION("REGEXREPLACE(E814, ""[^A-Za-z0-9]"", """")"),"NativitybyLanguageSpokenatHomebyAbilitytoSpeakEnglishforthePopulation5YearsandOverTwoorMoreRaces")</f>
        <v>NativitybyLanguageSpokenatHomebyAbilitytoSpeakEnglishforthePopulation5YearsandOverTwoorMoreRaces</v>
      </c>
      <c r="G814" s="7"/>
      <c r="H814" s="7" t="s">
        <v>2696</v>
      </c>
      <c r="I814" s="1" t="s">
        <v>2844</v>
      </c>
      <c r="J814" s="7" t="s">
        <v>2845</v>
      </c>
      <c r="K814" s="1"/>
      <c r="L814" s="1" t="s">
        <v>2699</v>
      </c>
      <c r="M814" s="1"/>
      <c r="N814" s="1"/>
      <c r="O814" s="1" t="str">
        <f t="shared" si="1"/>
        <v> = 'B16005G_007',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2" t="s">
        <v>10</v>
      </c>
      <c r="B815" s="1"/>
      <c r="C815" s="7" t="s">
        <v>1158</v>
      </c>
      <c r="D815" s="7" t="s">
        <v>1159</v>
      </c>
      <c r="E815" s="7" t="s">
        <v>2831</v>
      </c>
      <c r="F815" s="3" t="str">
        <f>IFERROR(__xludf.DUMMYFUNCTION("REGEXREPLACE(E815, ""[^A-Za-z0-9]"", """")"),"NativitybyLanguageSpokenatHomebyAbilitytoSpeakEnglishforthePopulation5YearsandOverTwoorMoreRaces")</f>
        <v>NativitybyLanguageSpokenatHomebyAbilitytoSpeakEnglishforthePopulation5YearsandOverTwoorMoreRaces</v>
      </c>
      <c r="G815" s="7"/>
      <c r="H815" s="7" t="s">
        <v>2700</v>
      </c>
      <c r="I815" s="1" t="s">
        <v>2846</v>
      </c>
      <c r="J815" s="7" t="s">
        <v>2847</v>
      </c>
      <c r="K815" s="1"/>
      <c r="L815" s="1" t="s">
        <v>2703</v>
      </c>
      <c r="M815" s="1"/>
      <c r="N815" s="1"/>
      <c r="O815" s="1" t="str">
        <f t="shared" si="1"/>
        <v> = 'B16005G_008',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2" t="s">
        <v>10</v>
      </c>
      <c r="B816" s="1"/>
      <c r="C816" s="7" t="s">
        <v>1158</v>
      </c>
      <c r="D816" s="7" t="s">
        <v>1159</v>
      </c>
      <c r="E816" s="7" t="s">
        <v>2831</v>
      </c>
      <c r="F816" s="3" t="str">
        <f>IFERROR(__xludf.DUMMYFUNCTION("REGEXREPLACE(E816, ""[^A-Za-z0-9]"", """")"),"NativitybyLanguageSpokenatHomebyAbilitytoSpeakEnglishforthePopulation5YearsandOverTwoorMoreRaces")</f>
        <v>NativitybyLanguageSpokenatHomebyAbilitytoSpeakEnglishforthePopulation5YearsandOverTwoorMoreRaces</v>
      </c>
      <c r="G816" s="7"/>
      <c r="H816" s="7" t="s">
        <v>2704</v>
      </c>
      <c r="I816" s="1" t="s">
        <v>2848</v>
      </c>
      <c r="J816" s="7" t="s">
        <v>2849</v>
      </c>
      <c r="K816" s="1"/>
      <c r="L816" s="1" t="s">
        <v>2707</v>
      </c>
      <c r="M816" s="1"/>
      <c r="N816" s="1"/>
      <c r="O816" s="1" t="str">
        <f t="shared" si="1"/>
        <v> = 'B16005G_009',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2" t="s">
        <v>10</v>
      </c>
      <c r="B817" s="1"/>
      <c r="C817" s="7" t="s">
        <v>1158</v>
      </c>
      <c r="D817" s="7" t="s">
        <v>1159</v>
      </c>
      <c r="E817" s="7" t="s">
        <v>2831</v>
      </c>
      <c r="F817" s="3" t="str">
        <f>IFERROR(__xludf.DUMMYFUNCTION("REGEXREPLACE(E817, ""[^A-Za-z0-9]"", """")"),"NativitybyLanguageSpokenatHomebyAbilitytoSpeakEnglishforthePopulation5YearsandOverTwoorMoreRaces")</f>
        <v>NativitybyLanguageSpokenatHomebyAbilitytoSpeakEnglishforthePopulation5YearsandOverTwoorMoreRaces</v>
      </c>
      <c r="G817" s="7"/>
      <c r="H817" s="7" t="s">
        <v>2708</v>
      </c>
      <c r="I817" s="1" t="s">
        <v>2850</v>
      </c>
      <c r="J817" s="7" t="s">
        <v>2851</v>
      </c>
      <c r="K817" s="1"/>
      <c r="L817" s="1" t="s">
        <v>2711</v>
      </c>
      <c r="M817" s="1"/>
      <c r="N817" s="1"/>
      <c r="O817" s="1" t="str">
        <f t="shared" si="1"/>
        <v> = 'B16005G_010',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2" t="s">
        <v>10</v>
      </c>
      <c r="B818" s="1"/>
      <c r="C818" s="7" t="s">
        <v>1158</v>
      </c>
      <c r="D818" s="7" t="s">
        <v>1159</v>
      </c>
      <c r="E818" s="7" t="s">
        <v>2831</v>
      </c>
      <c r="F818" s="3" t="str">
        <f>IFERROR(__xludf.DUMMYFUNCTION("REGEXREPLACE(E818, ""[^A-Za-z0-9]"", """")"),"NativitybyLanguageSpokenatHomebyAbilitytoSpeakEnglishforthePopulation5YearsandOverTwoorMoreRaces")</f>
        <v>NativitybyLanguageSpokenatHomebyAbilitytoSpeakEnglishforthePopulation5YearsandOverTwoorMoreRaces</v>
      </c>
      <c r="G818" s="7"/>
      <c r="H818" s="7" t="s">
        <v>2712</v>
      </c>
      <c r="I818" s="1" t="s">
        <v>2852</v>
      </c>
      <c r="J818" s="7" t="s">
        <v>2853</v>
      </c>
      <c r="K818" s="1"/>
      <c r="L818" s="1" t="s">
        <v>2715</v>
      </c>
      <c r="M818" s="1"/>
      <c r="N818" s="1"/>
      <c r="O818" s="1" t="str">
        <f t="shared" si="1"/>
        <v> = 'B16005G_011',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2" t="s">
        <v>10</v>
      </c>
      <c r="B819" s="1"/>
      <c r="C819" s="7" t="s">
        <v>1158</v>
      </c>
      <c r="D819" s="7" t="s">
        <v>1159</v>
      </c>
      <c r="E819" s="7" t="s">
        <v>2854</v>
      </c>
      <c r="F819" s="3" t="str">
        <f>IFERROR(__xludf.DUMMYFUNCTION("REGEXREPLACE(E819,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19" s="7"/>
      <c r="H819" s="7" t="s">
        <v>16</v>
      </c>
      <c r="I819" s="1" t="s">
        <v>2855</v>
      </c>
      <c r="J819" s="7" t="s">
        <v>2856</v>
      </c>
      <c r="K819" s="1"/>
      <c r="L819" s="1" t="s">
        <v>20</v>
      </c>
      <c r="M819" s="1"/>
      <c r="N819" s="1"/>
      <c r="O819" s="1" t="str">
        <f t="shared" si="1"/>
        <v> = 'B16005H_001',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2" t="s">
        <v>10</v>
      </c>
      <c r="B820" s="1"/>
      <c r="C820" s="7" t="s">
        <v>1158</v>
      </c>
      <c r="D820" s="7" t="s">
        <v>1159</v>
      </c>
      <c r="E820" s="7" t="s">
        <v>2854</v>
      </c>
      <c r="F820" s="3" t="str">
        <f>IFERROR(__xludf.DUMMYFUNCTION("REGEXREPLACE(E820,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0" s="7"/>
      <c r="H820" s="7" t="s">
        <v>2676</v>
      </c>
      <c r="I820" s="1" t="s">
        <v>2857</v>
      </c>
      <c r="J820" s="7" t="s">
        <v>2858</v>
      </c>
      <c r="K820" s="1"/>
      <c r="L820" s="1" t="s">
        <v>2679</v>
      </c>
      <c r="M820" s="1"/>
      <c r="N820" s="1"/>
      <c r="O820" s="1" t="str">
        <f t="shared" si="1"/>
        <v> = 'B16005H_002',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2" t="s">
        <v>10</v>
      </c>
      <c r="B821" s="1"/>
      <c r="C821" s="7" t="s">
        <v>1158</v>
      </c>
      <c r="D821" s="7" t="s">
        <v>1159</v>
      </c>
      <c r="E821" s="7" t="s">
        <v>2854</v>
      </c>
      <c r="F821" s="3" t="str">
        <f>IFERROR(__xludf.DUMMYFUNCTION("REGEXREPLACE(E821,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1" s="7"/>
      <c r="H821" s="7" t="s">
        <v>2680</v>
      </c>
      <c r="I821" s="1" t="s">
        <v>2859</v>
      </c>
      <c r="J821" s="7" t="s">
        <v>2860</v>
      </c>
      <c r="K821" s="1"/>
      <c r="L821" s="1" t="s">
        <v>2683</v>
      </c>
      <c r="M821" s="1"/>
      <c r="N821" s="1"/>
      <c r="O821" s="1" t="str">
        <f t="shared" si="1"/>
        <v> = 'B16005H_003',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2" t="s">
        <v>10</v>
      </c>
      <c r="B822" s="1"/>
      <c r="C822" s="7" t="s">
        <v>1158</v>
      </c>
      <c r="D822" s="7" t="s">
        <v>1159</v>
      </c>
      <c r="E822" s="7" t="s">
        <v>2854</v>
      </c>
      <c r="F822" s="3" t="str">
        <f>IFERROR(__xludf.DUMMYFUNCTION("REGEXREPLACE(E822,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2" s="7"/>
      <c r="H822" s="7" t="s">
        <v>2684</v>
      </c>
      <c r="I822" s="1" t="s">
        <v>2861</v>
      </c>
      <c r="J822" s="7" t="s">
        <v>2862</v>
      </c>
      <c r="K822" s="1"/>
      <c r="L822" s="1" t="s">
        <v>2687</v>
      </c>
      <c r="M822" s="1"/>
      <c r="N822" s="1"/>
      <c r="O822" s="1" t="str">
        <f t="shared" si="1"/>
        <v> = 'B16005H_004',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2" t="s">
        <v>10</v>
      </c>
      <c r="B823" s="1"/>
      <c r="C823" s="7" t="s">
        <v>1158</v>
      </c>
      <c r="D823" s="7" t="s">
        <v>1159</v>
      </c>
      <c r="E823" s="7" t="s">
        <v>2854</v>
      </c>
      <c r="F823" s="3" t="str">
        <f>IFERROR(__xludf.DUMMYFUNCTION("REGEXREPLACE(E823,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3" s="7"/>
      <c r="H823" s="7" t="s">
        <v>2688</v>
      </c>
      <c r="I823" s="1" t="s">
        <v>2863</v>
      </c>
      <c r="J823" s="7" t="s">
        <v>2864</v>
      </c>
      <c r="K823" s="1"/>
      <c r="L823" s="1" t="s">
        <v>2691</v>
      </c>
      <c r="M823" s="1"/>
      <c r="N823" s="1"/>
      <c r="O823" s="1" t="str">
        <f t="shared" si="1"/>
        <v> = 'B16005H_005',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2" t="s">
        <v>10</v>
      </c>
      <c r="B824" s="1"/>
      <c r="C824" s="7" t="s">
        <v>1158</v>
      </c>
      <c r="D824" s="7" t="s">
        <v>1159</v>
      </c>
      <c r="E824" s="7" t="s">
        <v>2854</v>
      </c>
      <c r="F824" s="3" t="str">
        <f>IFERROR(__xludf.DUMMYFUNCTION("REGEXREPLACE(E824,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4" s="7"/>
      <c r="H824" s="7" t="s">
        <v>2692</v>
      </c>
      <c r="I824" s="1" t="s">
        <v>2865</v>
      </c>
      <c r="J824" s="7" t="s">
        <v>2866</v>
      </c>
      <c r="K824" s="1"/>
      <c r="L824" s="1" t="s">
        <v>2695</v>
      </c>
      <c r="M824" s="1"/>
      <c r="N824" s="1"/>
      <c r="O824" s="1" t="str">
        <f t="shared" si="1"/>
        <v> = 'B16005H_006',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2" t="s">
        <v>10</v>
      </c>
      <c r="B825" s="1"/>
      <c r="C825" s="7" t="s">
        <v>1158</v>
      </c>
      <c r="D825" s="7" t="s">
        <v>1159</v>
      </c>
      <c r="E825" s="7" t="s">
        <v>2854</v>
      </c>
      <c r="F825" s="3" t="str">
        <f>IFERROR(__xludf.DUMMYFUNCTION("REGEXREPLACE(E825,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5" s="7"/>
      <c r="H825" s="7" t="s">
        <v>2696</v>
      </c>
      <c r="I825" s="1" t="s">
        <v>2867</v>
      </c>
      <c r="J825" s="7" t="s">
        <v>2868</v>
      </c>
      <c r="K825" s="1"/>
      <c r="L825" s="1" t="s">
        <v>2699</v>
      </c>
      <c r="M825" s="1"/>
      <c r="N825" s="1"/>
      <c r="O825" s="1" t="str">
        <f t="shared" si="1"/>
        <v> = 'B16005H_007',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2" t="s">
        <v>10</v>
      </c>
      <c r="B826" s="1"/>
      <c r="C826" s="7" t="s">
        <v>1158</v>
      </c>
      <c r="D826" s="7" t="s">
        <v>1159</v>
      </c>
      <c r="E826" s="7" t="s">
        <v>2854</v>
      </c>
      <c r="F826" s="3" t="str">
        <f>IFERROR(__xludf.DUMMYFUNCTION("REGEXREPLACE(E826,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6" s="7"/>
      <c r="H826" s="7" t="s">
        <v>2700</v>
      </c>
      <c r="I826" s="1" t="s">
        <v>2869</v>
      </c>
      <c r="J826" s="7" t="s">
        <v>2870</v>
      </c>
      <c r="K826" s="1"/>
      <c r="L826" s="1" t="s">
        <v>2703</v>
      </c>
      <c r="M826" s="1"/>
      <c r="N826" s="1"/>
      <c r="O826" s="1" t="str">
        <f t="shared" si="1"/>
        <v> = 'B16005H_008',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2" t="s">
        <v>10</v>
      </c>
      <c r="B827" s="1"/>
      <c r="C827" s="7" t="s">
        <v>1158</v>
      </c>
      <c r="D827" s="7" t="s">
        <v>1159</v>
      </c>
      <c r="E827" s="7" t="s">
        <v>2854</v>
      </c>
      <c r="F827" s="3" t="str">
        <f>IFERROR(__xludf.DUMMYFUNCTION("REGEXREPLACE(E827,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7" s="7"/>
      <c r="H827" s="7" t="s">
        <v>2704</v>
      </c>
      <c r="I827" s="1" t="s">
        <v>2871</v>
      </c>
      <c r="J827" s="7" t="s">
        <v>2872</v>
      </c>
      <c r="K827" s="1"/>
      <c r="L827" s="1" t="s">
        <v>2707</v>
      </c>
      <c r="M827" s="1"/>
      <c r="N827" s="1"/>
      <c r="O827" s="1" t="str">
        <f t="shared" si="1"/>
        <v> = 'B16005H_009',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2" t="s">
        <v>10</v>
      </c>
      <c r="B828" s="1"/>
      <c r="C828" s="7" t="s">
        <v>1158</v>
      </c>
      <c r="D828" s="7" t="s">
        <v>1159</v>
      </c>
      <c r="E828" s="7" t="s">
        <v>2854</v>
      </c>
      <c r="F828" s="3" t="str">
        <f>IFERROR(__xludf.DUMMYFUNCTION("REGEXREPLACE(E828,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8" s="7"/>
      <c r="H828" s="7" t="s">
        <v>2708</v>
      </c>
      <c r="I828" s="1" t="s">
        <v>2873</v>
      </c>
      <c r="J828" s="7" t="s">
        <v>2874</v>
      </c>
      <c r="K828" s="1"/>
      <c r="L828" s="1" t="s">
        <v>2711</v>
      </c>
      <c r="M828" s="1"/>
      <c r="N828" s="1"/>
      <c r="O828" s="1" t="str">
        <f t="shared" si="1"/>
        <v> = 'B16005H_010',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2" t="s">
        <v>10</v>
      </c>
      <c r="B829" s="1"/>
      <c r="C829" s="7" t="s">
        <v>1158</v>
      </c>
      <c r="D829" s="7" t="s">
        <v>1159</v>
      </c>
      <c r="E829" s="7" t="s">
        <v>2854</v>
      </c>
      <c r="F829" s="3" t="str">
        <f>IFERROR(__xludf.DUMMYFUNCTION("REGEXREPLACE(E829, ""[^A-Za-z0-9]"", """")"),"NativitybyLanguageSpokenatHomebyAbilitytoSpeakEnglishforthePopulation5YearsandOverWhiteAloneNotHispanicorLatino")</f>
        <v>NativitybyLanguageSpokenatHomebyAbilitytoSpeakEnglishforthePopulation5YearsandOverWhiteAloneNotHispanicorLatino</v>
      </c>
      <c r="G829" s="7"/>
      <c r="H829" s="7" t="s">
        <v>2712</v>
      </c>
      <c r="I829" s="1" t="s">
        <v>2875</v>
      </c>
      <c r="J829" s="7" t="s">
        <v>2876</v>
      </c>
      <c r="K829" s="1"/>
      <c r="L829" s="1" t="s">
        <v>2715</v>
      </c>
      <c r="M829" s="1"/>
      <c r="N829" s="1"/>
      <c r="O829" s="1" t="str">
        <f t="shared" si="1"/>
        <v> = 'B16005H_011',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2" t="s">
        <v>10</v>
      </c>
      <c r="B830" s="1"/>
      <c r="C830" s="7" t="s">
        <v>1158</v>
      </c>
      <c r="D830" s="7" t="s">
        <v>1159</v>
      </c>
      <c r="E830" s="7" t="s">
        <v>2877</v>
      </c>
      <c r="F830" s="3" t="str">
        <f>IFERROR(__xludf.DUMMYFUNCTION("REGEXREPLACE(E830, ""[^A-Za-z0-9]"", """")"),"NativitybyLanguageSpokenatHomebyAbilitytoSpeakEnglishforthePopulation5YearsandOverHispanicorLatino")</f>
        <v>NativitybyLanguageSpokenatHomebyAbilitytoSpeakEnglishforthePopulation5YearsandOverHispanicorLatino</v>
      </c>
      <c r="G830" s="7"/>
      <c r="H830" s="7" t="s">
        <v>16</v>
      </c>
      <c r="I830" s="1" t="s">
        <v>2878</v>
      </c>
      <c r="J830" s="7" t="s">
        <v>2879</v>
      </c>
      <c r="K830" s="1"/>
      <c r="L830" s="1" t="s">
        <v>20</v>
      </c>
      <c r="M830" s="1"/>
      <c r="N830" s="1"/>
      <c r="O830" s="1" t="str">
        <f t="shared" si="1"/>
        <v> = 'B16005I_001',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2" t="s">
        <v>10</v>
      </c>
      <c r="B831" s="1"/>
      <c r="C831" s="7" t="s">
        <v>1158</v>
      </c>
      <c r="D831" s="7" t="s">
        <v>1159</v>
      </c>
      <c r="E831" s="7" t="s">
        <v>2877</v>
      </c>
      <c r="F831" s="3" t="str">
        <f>IFERROR(__xludf.DUMMYFUNCTION("REGEXREPLACE(E831, ""[^A-Za-z0-9]"", """")"),"NativitybyLanguageSpokenatHomebyAbilitytoSpeakEnglishforthePopulation5YearsandOverHispanicorLatino")</f>
        <v>NativitybyLanguageSpokenatHomebyAbilitytoSpeakEnglishforthePopulation5YearsandOverHispanicorLatino</v>
      </c>
      <c r="G831" s="7"/>
      <c r="H831" s="7" t="s">
        <v>2676</v>
      </c>
      <c r="I831" s="1" t="s">
        <v>2880</v>
      </c>
      <c r="J831" s="7" t="s">
        <v>2881</v>
      </c>
      <c r="K831" s="1"/>
      <c r="L831" s="1" t="s">
        <v>2679</v>
      </c>
      <c r="M831" s="1"/>
      <c r="N831" s="1"/>
      <c r="O831" s="1" t="str">
        <f t="shared" si="1"/>
        <v> = 'B16005I_002',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2" t="s">
        <v>10</v>
      </c>
      <c r="B832" s="1"/>
      <c r="C832" s="7" t="s">
        <v>1158</v>
      </c>
      <c r="D832" s="7" t="s">
        <v>1159</v>
      </c>
      <c r="E832" s="7" t="s">
        <v>2877</v>
      </c>
      <c r="F832" s="3" t="str">
        <f>IFERROR(__xludf.DUMMYFUNCTION("REGEXREPLACE(E832, ""[^A-Za-z0-9]"", """")"),"NativitybyLanguageSpokenatHomebyAbilitytoSpeakEnglishforthePopulation5YearsandOverHispanicorLatino")</f>
        <v>NativitybyLanguageSpokenatHomebyAbilitytoSpeakEnglishforthePopulation5YearsandOverHispanicorLatino</v>
      </c>
      <c r="G832" s="7"/>
      <c r="H832" s="7" t="s">
        <v>2680</v>
      </c>
      <c r="I832" s="1" t="s">
        <v>2882</v>
      </c>
      <c r="J832" s="7" t="s">
        <v>2883</v>
      </c>
      <c r="K832" s="1"/>
      <c r="L832" s="1" t="s">
        <v>2683</v>
      </c>
      <c r="M832" s="1"/>
      <c r="N832" s="1"/>
      <c r="O832" s="1" t="str">
        <f t="shared" si="1"/>
        <v> = 'B16005I_003',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2" t="s">
        <v>10</v>
      </c>
      <c r="B833" s="1"/>
      <c r="C833" s="7" t="s">
        <v>1158</v>
      </c>
      <c r="D833" s="7" t="s">
        <v>1159</v>
      </c>
      <c r="E833" s="7" t="s">
        <v>2877</v>
      </c>
      <c r="F833" s="3" t="str">
        <f>IFERROR(__xludf.DUMMYFUNCTION("REGEXREPLACE(E833, ""[^A-Za-z0-9]"", """")"),"NativitybyLanguageSpokenatHomebyAbilitytoSpeakEnglishforthePopulation5YearsandOverHispanicorLatino")</f>
        <v>NativitybyLanguageSpokenatHomebyAbilitytoSpeakEnglishforthePopulation5YearsandOverHispanicorLatino</v>
      </c>
      <c r="G833" s="7"/>
      <c r="H833" s="7" t="s">
        <v>2684</v>
      </c>
      <c r="I833" s="1" t="s">
        <v>2884</v>
      </c>
      <c r="J833" s="7" t="s">
        <v>2885</v>
      </c>
      <c r="K833" s="1"/>
      <c r="L833" s="1" t="s">
        <v>2687</v>
      </c>
      <c r="M833" s="1"/>
      <c r="N833" s="1"/>
      <c r="O833" s="1" t="str">
        <f t="shared" si="1"/>
        <v> = 'B16005I_004',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2" t="s">
        <v>10</v>
      </c>
      <c r="B834" s="1"/>
      <c r="C834" s="7" t="s">
        <v>1158</v>
      </c>
      <c r="D834" s="7" t="s">
        <v>1159</v>
      </c>
      <c r="E834" s="7" t="s">
        <v>2877</v>
      </c>
      <c r="F834" s="3" t="str">
        <f>IFERROR(__xludf.DUMMYFUNCTION("REGEXREPLACE(E834, ""[^A-Za-z0-9]"", """")"),"NativitybyLanguageSpokenatHomebyAbilitytoSpeakEnglishforthePopulation5YearsandOverHispanicorLatino")</f>
        <v>NativitybyLanguageSpokenatHomebyAbilitytoSpeakEnglishforthePopulation5YearsandOverHispanicorLatino</v>
      </c>
      <c r="G834" s="7"/>
      <c r="H834" s="7" t="s">
        <v>2688</v>
      </c>
      <c r="I834" s="1" t="s">
        <v>2886</v>
      </c>
      <c r="J834" s="7" t="s">
        <v>2887</v>
      </c>
      <c r="K834" s="1"/>
      <c r="L834" s="1" t="s">
        <v>2691</v>
      </c>
      <c r="M834" s="1"/>
      <c r="N834" s="1"/>
      <c r="O834" s="1" t="str">
        <f t="shared" si="1"/>
        <v> = 'B16005I_005',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2" t="s">
        <v>10</v>
      </c>
      <c r="B835" s="1"/>
      <c r="C835" s="7" t="s">
        <v>1158</v>
      </c>
      <c r="D835" s="7" t="s">
        <v>1159</v>
      </c>
      <c r="E835" s="7" t="s">
        <v>2877</v>
      </c>
      <c r="F835" s="3" t="str">
        <f>IFERROR(__xludf.DUMMYFUNCTION("REGEXREPLACE(E835, ""[^A-Za-z0-9]"", """")"),"NativitybyLanguageSpokenatHomebyAbilitytoSpeakEnglishforthePopulation5YearsandOverHispanicorLatino")</f>
        <v>NativitybyLanguageSpokenatHomebyAbilitytoSpeakEnglishforthePopulation5YearsandOverHispanicorLatino</v>
      </c>
      <c r="G835" s="7"/>
      <c r="H835" s="7" t="s">
        <v>2692</v>
      </c>
      <c r="I835" s="1" t="s">
        <v>2888</v>
      </c>
      <c r="J835" s="7" t="s">
        <v>2889</v>
      </c>
      <c r="K835" s="1"/>
      <c r="L835" s="1" t="s">
        <v>2695</v>
      </c>
      <c r="M835" s="1"/>
      <c r="N835" s="1"/>
      <c r="O835" s="1" t="str">
        <f t="shared" si="1"/>
        <v> = 'B16005I_006',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2" t="s">
        <v>10</v>
      </c>
      <c r="B836" s="1"/>
      <c r="C836" s="7" t="s">
        <v>1158</v>
      </c>
      <c r="D836" s="7" t="s">
        <v>1159</v>
      </c>
      <c r="E836" s="7" t="s">
        <v>2877</v>
      </c>
      <c r="F836" s="3" t="str">
        <f>IFERROR(__xludf.DUMMYFUNCTION("REGEXREPLACE(E836, ""[^A-Za-z0-9]"", """")"),"NativitybyLanguageSpokenatHomebyAbilitytoSpeakEnglishforthePopulation5YearsandOverHispanicorLatino")</f>
        <v>NativitybyLanguageSpokenatHomebyAbilitytoSpeakEnglishforthePopulation5YearsandOverHispanicorLatino</v>
      </c>
      <c r="G836" s="7"/>
      <c r="H836" s="7" t="s">
        <v>2696</v>
      </c>
      <c r="I836" s="1" t="s">
        <v>2890</v>
      </c>
      <c r="J836" s="7" t="s">
        <v>2891</v>
      </c>
      <c r="K836" s="1"/>
      <c r="L836" s="1" t="s">
        <v>2699</v>
      </c>
      <c r="M836" s="1"/>
      <c r="N836" s="1"/>
      <c r="O836" s="1" t="str">
        <f t="shared" si="1"/>
        <v> = 'B16005I_007',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2" t="s">
        <v>10</v>
      </c>
      <c r="B837" s="1"/>
      <c r="C837" s="7" t="s">
        <v>1158</v>
      </c>
      <c r="D837" s="7" t="s">
        <v>1159</v>
      </c>
      <c r="E837" s="7" t="s">
        <v>2877</v>
      </c>
      <c r="F837" s="3" t="str">
        <f>IFERROR(__xludf.DUMMYFUNCTION("REGEXREPLACE(E837, ""[^A-Za-z0-9]"", """")"),"NativitybyLanguageSpokenatHomebyAbilitytoSpeakEnglishforthePopulation5YearsandOverHispanicorLatino")</f>
        <v>NativitybyLanguageSpokenatHomebyAbilitytoSpeakEnglishforthePopulation5YearsandOverHispanicorLatino</v>
      </c>
      <c r="G837" s="7"/>
      <c r="H837" s="7" t="s">
        <v>2700</v>
      </c>
      <c r="I837" s="1" t="s">
        <v>2892</v>
      </c>
      <c r="J837" s="7" t="s">
        <v>2893</v>
      </c>
      <c r="K837" s="1"/>
      <c r="L837" s="1" t="s">
        <v>2703</v>
      </c>
      <c r="M837" s="1"/>
      <c r="N837" s="1"/>
      <c r="O837" s="1" t="str">
        <f t="shared" si="1"/>
        <v> = 'B16005I_008',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2" t="s">
        <v>10</v>
      </c>
      <c r="B838" s="1"/>
      <c r="C838" s="7" t="s">
        <v>1158</v>
      </c>
      <c r="D838" s="7" t="s">
        <v>1159</v>
      </c>
      <c r="E838" s="7" t="s">
        <v>2877</v>
      </c>
      <c r="F838" s="3" t="str">
        <f>IFERROR(__xludf.DUMMYFUNCTION("REGEXREPLACE(E838, ""[^A-Za-z0-9]"", """")"),"NativitybyLanguageSpokenatHomebyAbilitytoSpeakEnglishforthePopulation5YearsandOverHispanicorLatino")</f>
        <v>NativitybyLanguageSpokenatHomebyAbilitytoSpeakEnglishforthePopulation5YearsandOverHispanicorLatino</v>
      </c>
      <c r="G838" s="7"/>
      <c r="H838" s="7" t="s">
        <v>2704</v>
      </c>
      <c r="I838" s="1" t="s">
        <v>2894</v>
      </c>
      <c r="J838" s="7" t="s">
        <v>2895</v>
      </c>
      <c r="K838" s="1"/>
      <c r="L838" s="1" t="s">
        <v>2707</v>
      </c>
      <c r="M838" s="1"/>
      <c r="N838" s="1"/>
      <c r="O838" s="1" t="str">
        <f t="shared" si="1"/>
        <v> = 'B16005I_009',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2" t="s">
        <v>10</v>
      </c>
      <c r="B839" s="1"/>
      <c r="C839" s="7" t="s">
        <v>1158</v>
      </c>
      <c r="D839" s="7" t="s">
        <v>1159</v>
      </c>
      <c r="E839" s="7" t="s">
        <v>2877</v>
      </c>
      <c r="F839" s="3" t="str">
        <f>IFERROR(__xludf.DUMMYFUNCTION("REGEXREPLACE(E839, ""[^A-Za-z0-9]"", """")"),"NativitybyLanguageSpokenatHomebyAbilitytoSpeakEnglishforthePopulation5YearsandOverHispanicorLatino")</f>
        <v>NativitybyLanguageSpokenatHomebyAbilitytoSpeakEnglishforthePopulation5YearsandOverHispanicorLatino</v>
      </c>
      <c r="G839" s="7"/>
      <c r="H839" s="7" t="s">
        <v>2708</v>
      </c>
      <c r="I839" s="1" t="s">
        <v>2896</v>
      </c>
      <c r="J839" s="7" t="s">
        <v>2897</v>
      </c>
      <c r="K839" s="1"/>
      <c r="L839" s="1" t="s">
        <v>2711</v>
      </c>
      <c r="M839" s="1"/>
      <c r="N839" s="1"/>
      <c r="O839" s="1" t="str">
        <f t="shared" si="1"/>
        <v> = 'B16005I_010',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2" t="s">
        <v>10</v>
      </c>
      <c r="B840" s="1"/>
      <c r="C840" s="7" t="s">
        <v>1158</v>
      </c>
      <c r="D840" s="7" t="s">
        <v>1159</v>
      </c>
      <c r="E840" s="7" t="s">
        <v>2877</v>
      </c>
      <c r="F840" s="3" t="str">
        <f>IFERROR(__xludf.DUMMYFUNCTION("REGEXREPLACE(E840, ""[^A-Za-z0-9]"", """")"),"NativitybyLanguageSpokenatHomebyAbilitytoSpeakEnglishforthePopulation5YearsandOverHispanicorLatino")</f>
        <v>NativitybyLanguageSpokenatHomebyAbilitytoSpeakEnglishforthePopulation5YearsandOverHispanicorLatino</v>
      </c>
      <c r="G840" s="7"/>
      <c r="H840" s="7" t="s">
        <v>2712</v>
      </c>
      <c r="I840" s="1" t="s">
        <v>2898</v>
      </c>
      <c r="J840" s="7" t="s">
        <v>2899</v>
      </c>
      <c r="K840" s="1"/>
      <c r="L840" s="1" t="s">
        <v>2715</v>
      </c>
      <c r="M840" s="1"/>
      <c r="N840" s="1"/>
      <c r="O840" s="1" t="str">
        <f t="shared" si="1"/>
        <v> = 'B16005I_011',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2" t="s">
        <v>10</v>
      </c>
      <c r="B841" s="1"/>
      <c r="C841" s="7" t="s">
        <v>1158</v>
      </c>
      <c r="D841" s="7" t="s">
        <v>1159</v>
      </c>
      <c r="E841" s="7" t="s">
        <v>2900</v>
      </c>
      <c r="F841" s="3" t="str">
        <f>IFERROR(__xludf.DUMMYFUNCTION("REGEXREPLACE(E841, ""[^A-Za-z0-9]"", """")"),"NativitybyLanguageSpokenatHomebyAbilitytoSpeakEnglishforthePopulation5YearsandOver")</f>
        <v>NativitybyLanguageSpokenatHomebyAbilitytoSpeakEnglishforthePopulation5YearsandOver</v>
      </c>
      <c r="G841" s="7"/>
      <c r="H841" s="7" t="s">
        <v>16</v>
      </c>
      <c r="I841" s="1" t="s">
        <v>2901</v>
      </c>
      <c r="J841" s="7" t="s">
        <v>2902</v>
      </c>
      <c r="K841" s="1"/>
      <c r="L841" s="1" t="s">
        <v>20</v>
      </c>
      <c r="M841" s="1"/>
      <c r="N841" s="1"/>
      <c r="O841" s="1" t="str">
        <f t="shared" si="1"/>
        <v> = 'B16005_001',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2" t="s">
        <v>10</v>
      </c>
      <c r="B842" s="1"/>
      <c r="C842" s="7" t="s">
        <v>1158</v>
      </c>
      <c r="D842" s="7" t="s">
        <v>1159</v>
      </c>
      <c r="E842" s="7" t="s">
        <v>2900</v>
      </c>
      <c r="F842" s="3" t="str">
        <f>IFERROR(__xludf.DUMMYFUNCTION("REGEXREPLACE(E842, ""[^A-Za-z0-9]"", """")"),"NativitybyLanguageSpokenatHomebyAbilitytoSpeakEnglishforthePopulation5YearsandOver")</f>
        <v>NativitybyLanguageSpokenatHomebyAbilitytoSpeakEnglishforthePopulation5YearsandOver</v>
      </c>
      <c r="G842" s="7"/>
      <c r="H842" s="7" t="s">
        <v>2676</v>
      </c>
      <c r="I842" s="1" t="s">
        <v>2903</v>
      </c>
      <c r="J842" s="7" t="s">
        <v>2904</v>
      </c>
      <c r="K842" s="1"/>
      <c r="L842" s="1" t="s">
        <v>2679</v>
      </c>
      <c r="M842" s="1"/>
      <c r="N842" s="1"/>
      <c r="O842" s="1" t="str">
        <f t="shared" si="1"/>
        <v> = 'B16005_002',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2" t="s">
        <v>10</v>
      </c>
      <c r="B843" s="1"/>
      <c r="C843" s="7" t="s">
        <v>1158</v>
      </c>
      <c r="D843" s="7" t="s">
        <v>1159</v>
      </c>
      <c r="E843" s="7" t="s">
        <v>2900</v>
      </c>
      <c r="F843" s="3" t="str">
        <f>IFERROR(__xludf.DUMMYFUNCTION("REGEXREPLACE(E843, ""[^A-Za-z0-9]"", """")"),"NativitybyLanguageSpokenatHomebyAbilitytoSpeakEnglishforthePopulation5YearsandOver")</f>
        <v>NativitybyLanguageSpokenatHomebyAbilitytoSpeakEnglishforthePopulation5YearsandOver</v>
      </c>
      <c r="G843" s="7"/>
      <c r="H843" s="7" t="s">
        <v>2680</v>
      </c>
      <c r="I843" s="1" t="s">
        <v>2905</v>
      </c>
      <c r="J843" s="7" t="s">
        <v>2906</v>
      </c>
      <c r="K843" s="1"/>
      <c r="L843" s="1" t="s">
        <v>2683</v>
      </c>
      <c r="M843" s="1"/>
      <c r="N843" s="1"/>
      <c r="O843" s="1" t="str">
        <f t="shared" si="1"/>
        <v> = 'B16005_003',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2" t="s">
        <v>10</v>
      </c>
      <c r="B844" s="1"/>
      <c r="C844" s="7" t="s">
        <v>1158</v>
      </c>
      <c r="D844" s="7" t="s">
        <v>1159</v>
      </c>
      <c r="E844" s="7" t="s">
        <v>2900</v>
      </c>
      <c r="F844" s="3" t="str">
        <f>IFERROR(__xludf.DUMMYFUNCTION("REGEXREPLACE(E844, ""[^A-Za-z0-9]"", """")"),"NativitybyLanguageSpokenatHomebyAbilitytoSpeakEnglishforthePopulation5YearsandOver")</f>
        <v>NativitybyLanguageSpokenatHomebyAbilitytoSpeakEnglishforthePopulation5YearsandOver</v>
      </c>
      <c r="G844" s="7"/>
      <c r="H844" s="7" t="s">
        <v>2907</v>
      </c>
      <c r="I844" s="1" t="s">
        <v>2908</v>
      </c>
      <c r="J844" s="7" t="s">
        <v>2909</v>
      </c>
      <c r="K844" s="1"/>
      <c r="L844" s="1" t="s">
        <v>2910</v>
      </c>
      <c r="M844" s="1"/>
      <c r="N844" s="1"/>
      <c r="O844" s="1" t="str">
        <f t="shared" si="1"/>
        <v> = 'B16005_004',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2" t="s">
        <v>10</v>
      </c>
      <c r="B845" s="1"/>
      <c r="C845" s="7" t="s">
        <v>1158</v>
      </c>
      <c r="D845" s="7" t="s">
        <v>1159</v>
      </c>
      <c r="E845" s="7" t="s">
        <v>2900</v>
      </c>
      <c r="F845" s="3" t="str">
        <f>IFERROR(__xludf.DUMMYFUNCTION("REGEXREPLACE(E845, ""[^A-Za-z0-9]"", """")"),"NativitybyLanguageSpokenatHomebyAbilitytoSpeakEnglishforthePopulation5YearsandOver")</f>
        <v>NativitybyLanguageSpokenatHomebyAbilitytoSpeakEnglishforthePopulation5YearsandOver</v>
      </c>
      <c r="G845" s="7"/>
      <c r="H845" s="7" t="s">
        <v>2911</v>
      </c>
      <c r="I845" s="1" t="s">
        <v>2912</v>
      </c>
      <c r="J845" s="7" t="s">
        <v>2913</v>
      </c>
      <c r="K845" s="1"/>
      <c r="L845" s="1" t="s">
        <v>2914</v>
      </c>
      <c r="M845" s="1"/>
      <c r="N845" s="1"/>
      <c r="O845" s="1" t="str">
        <f t="shared" si="1"/>
        <v> = 'B16005_005',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2" t="s">
        <v>10</v>
      </c>
      <c r="B846" s="1"/>
      <c r="C846" s="7" t="s">
        <v>1158</v>
      </c>
      <c r="D846" s="7" t="s">
        <v>1159</v>
      </c>
      <c r="E846" s="7" t="s">
        <v>2900</v>
      </c>
      <c r="F846" s="3" t="str">
        <f>IFERROR(__xludf.DUMMYFUNCTION("REGEXREPLACE(E846, ""[^A-Za-z0-9]"", """")"),"NativitybyLanguageSpokenatHomebyAbilitytoSpeakEnglishforthePopulation5YearsandOver")</f>
        <v>NativitybyLanguageSpokenatHomebyAbilitytoSpeakEnglishforthePopulation5YearsandOver</v>
      </c>
      <c r="G846" s="7"/>
      <c r="H846" s="7" t="s">
        <v>2915</v>
      </c>
      <c r="I846" s="1" t="s">
        <v>2916</v>
      </c>
      <c r="J846" s="7" t="s">
        <v>2917</v>
      </c>
      <c r="K846" s="1"/>
      <c r="L846" s="1" t="s">
        <v>2918</v>
      </c>
      <c r="M846" s="1"/>
      <c r="N846" s="1"/>
      <c r="O846" s="1" t="str">
        <f t="shared" si="1"/>
        <v> = 'B16005_006',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2" t="s">
        <v>10</v>
      </c>
      <c r="B847" s="1"/>
      <c r="C847" s="7" t="s">
        <v>1158</v>
      </c>
      <c r="D847" s="7" t="s">
        <v>1159</v>
      </c>
      <c r="E847" s="7" t="s">
        <v>2900</v>
      </c>
      <c r="F847" s="3" t="str">
        <f>IFERROR(__xludf.DUMMYFUNCTION("REGEXREPLACE(E847, ""[^A-Za-z0-9]"", """")"),"NativitybyLanguageSpokenatHomebyAbilitytoSpeakEnglishforthePopulation5YearsandOver")</f>
        <v>NativitybyLanguageSpokenatHomebyAbilitytoSpeakEnglishforthePopulation5YearsandOver</v>
      </c>
      <c r="G847" s="7"/>
      <c r="H847" s="7" t="s">
        <v>2919</v>
      </c>
      <c r="I847" s="1" t="s">
        <v>2920</v>
      </c>
      <c r="J847" s="7" t="s">
        <v>2921</v>
      </c>
      <c r="K847" s="1"/>
      <c r="L847" s="1" t="s">
        <v>2922</v>
      </c>
      <c r="M847" s="1"/>
      <c r="N847" s="1"/>
      <c r="O847" s="1" t="str">
        <f t="shared" si="1"/>
        <v> = 'B16005_007',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2" t="s">
        <v>10</v>
      </c>
      <c r="B848" s="1"/>
      <c r="C848" s="7" t="s">
        <v>1158</v>
      </c>
      <c r="D848" s="7" t="s">
        <v>1159</v>
      </c>
      <c r="E848" s="7" t="s">
        <v>2900</v>
      </c>
      <c r="F848" s="3" t="str">
        <f>IFERROR(__xludf.DUMMYFUNCTION("REGEXREPLACE(E848, ""[^A-Za-z0-9]"", """")"),"NativitybyLanguageSpokenatHomebyAbilitytoSpeakEnglishforthePopulation5YearsandOver")</f>
        <v>NativitybyLanguageSpokenatHomebyAbilitytoSpeakEnglishforthePopulation5YearsandOver</v>
      </c>
      <c r="G848" s="7"/>
      <c r="H848" s="7" t="s">
        <v>2923</v>
      </c>
      <c r="I848" s="1" t="s">
        <v>2924</v>
      </c>
      <c r="J848" s="7" t="s">
        <v>2925</v>
      </c>
      <c r="K848" s="1"/>
      <c r="L848" s="1" t="s">
        <v>2926</v>
      </c>
      <c r="M848" s="1"/>
      <c r="N848" s="1"/>
      <c r="O848" s="1" t="str">
        <f t="shared" si="1"/>
        <v> = 'B16005_008',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2" t="s">
        <v>10</v>
      </c>
      <c r="B849" s="1"/>
      <c r="C849" s="7" t="s">
        <v>1158</v>
      </c>
      <c r="D849" s="7" t="s">
        <v>1159</v>
      </c>
      <c r="E849" s="7" t="s">
        <v>2900</v>
      </c>
      <c r="F849" s="3" t="str">
        <f>IFERROR(__xludf.DUMMYFUNCTION("REGEXREPLACE(E849, ""[^A-Za-z0-9]"", """")"),"NativitybyLanguageSpokenatHomebyAbilitytoSpeakEnglishforthePopulation5YearsandOver")</f>
        <v>NativitybyLanguageSpokenatHomebyAbilitytoSpeakEnglishforthePopulation5YearsandOver</v>
      </c>
      <c r="G849" s="7"/>
      <c r="H849" s="7" t="s">
        <v>2927</v>
      </c>
      <c r="I849" s="1" t="s">
        <v>2928</v>
      </c>
      <c r="J849" s="7" t="s">
        <v>2929</v>
      </c>
      <c r="K849" s="1"/>
      <c r="L849" s="1" t="s">
        <v>2930</v>
      </c>
      <c r="M849" s="1"/>
      <c r="N849" s="1"/>
      <c r="O849" s="1" t="str">
        <f t="shared" si="1"/>
        <v> = 'B16005_009',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2" t="s">
        <v>10</v>
      </c>
      <c r="B850" s="1"/>
      <c r="C850" s="7" t="s">
        <v>1158</v>
      </c>
      <c r="D850" s="7" t="s">
        <v>1159</v>
      </c>
      <c r="E850" s="7" t="s">
        <v>2900</v>
      </c>
      <c r="F850" s="3" t="str">
        <f>IFERROR(__xludf.DUMMYFUNCTION("REGEXREPLACE(E850, ""[^A-Za-z0-9]"", """")"),"NativitybyLanguageSpokenatHomebyAbilitytoSpeakEnglishforthePopulation5YearsandOver")</f>
        <v>NativitybyLanguageSpokenatHomebyAbilitytoSpeakEnglishforthePopulation5YearsandOver</v>
      </c>
      <c r="G850" s="7"/>
      <c r="H850" s="7" t="s">
        <v>2931</v>
      </c>
      <c r="I850" s="1" t="s">
        <v>2932</v>
      </c>
      <c r="J850" s="7" t="s">
        <v>2933</v>
      </c>
      <c r="K850" s="1"/>
      <c r="L850" s="1" t="s">
        <v>2934</v>
      </c>
      <c r="M850" s="1"/>
      <c r="N850" s="1"/>
      <c r="O850" s="1" t="str">
        <f t="shared" si="1"/>
        <v> = 'B16005_010',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2" t="s">
        <v>10</v>
      </c>
      <c r="B851" s="1"/>
      <c r="C851" s="7" t="s">
        <v>1158</v>
      </c>
      <c r="D851" s="7" t="s">
        <v>1159</v>
      </c>
      <c r="E851" s="7" t="s">
        <v>2900</v>
      </c>
      <c r="F851" s="3" t="str">
        <f>IFERROR(__xludf.DUMMYFUNCTION("REGEXREPLACE(E851, ""[^A-Za-z0-9]"", """")"),"NativitybyLanguageSpokenatHomebyAbilitytoSpeakEnglishforthePopulation5YearsandOver")</f>
        <v>NativitybyLanguageSpokenatHomebyAbilitytoSpeakEnglishforthePopulation5YearsandOver</v>
      </c>
      <c r="G851" s="7"/>
      <c r="H851" s="7" t="s">
        <v>2935</v>
      </c>
      <c r="I851" s="1" t="s">
        <v>2936</v>
      </c>
      <c r="J851" s="7" t="s">
        <v>2937</v>
      </c>
      <c r="K851" s="1"/>
      <c r="L851" s="1" t="s">
        <v>2938</v>
      </c>
      <c r="M851" s="1"/>
      <c r="N851" s="1"/>
      <c r="O851" s="1" t="str">
        <f t="shared" si="1"/>
        <v> = 'B16005_011',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2" t="s">
        <v>10</v>
      </c>
      <c r="B852" s="1"/>
      <c r="C852" s="7" t="s">
        <v>1158</v>
      </c>
      <c r="D852" s="7" t="s">
        <v>1159</v>
      </c>
      <c r="E852" s="7" t="s">
        <v>2900</v>
      </c>
      <c r="F852" s="3" t="str">
        <f>IFERROR(__xludf.DUMMYFUNCTION("REGEXREPLACE(E852, ""[^A-Za-z0-9]"", """")"),"NativitybyLanguageSpokenatHomebyAbilitytoSpeakEnglishforthePopulation5YearsandOver")</f>
        <v>NativitybyLanguageSpokenatHomebyAbilitytoSpeakEnglishforthePopulation5YearsandOver</v>
      </c>
      <c r="G852" s="7"/>
      <c r="H852" s="7" t="s">
        <v>2939</v>
      </c>
      <c r="I852" s="1" t="s">
        <v>2940</v>
      </c>
      <c r="J852" s="7" t="s">
        <v>2941</v>
      </c>
      <c r="K852" s="1"/>
      <c r="L852" s="1" t="s">
        <v>2942</v>
      </c>
      <c r="M852" s="1"/>
      <c r="N852" s="1"/>
      <c r="O852" s="1" t="str">
        <f t="shared" si="1"/>
        <v> = 'B16005_012',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2" t="s">
        <v>10</v>
      </c>
      <c r="B853" s="1"/>
      <c r="C853" s="7" t="s">
        <v>1158</v>
      </c>
      <c r="D853" s="7" t="s">
        <v>1159</v>
      </c>
      <c r="E853" s="7" t="s">
        <v>2900</v>
      </c>
      <c r="F853" s="3" t="str">
        <f>IFERROR(__xludf.DUMMYFUNCTION("REGEXREPLACE(E853, ""[^A-Za-z0-9]"", """")"),"NativitybyLanguageSpokenatHomebyAbilitytoSpeakEnglishforthePopulation5YearsandOver")</f>
        <v>NativitybyLanguageSpokenatHomebyAbilitytoSpeakEnglishforthePopulation5YearsandOver</v>
      </c>
      <c r="G853" s="7"/>
      <c r="H853" s="7" t="s">
        <v>2943</v>
      </c>
      <c r="I853" s="1" t="s">
        <v>2944</v>
      </c>
      <c r="J853" s="7" t="s">
        <v>2945</v>
      </c>
      <c r="K853" s="1"/>
      <c r="L853" s="1" t="s">
        <v>2946</v>
      </c>
      <c r="M853" s="1"/>
      <c r="N853" s="1"/>
      <c r="O853" s="1" t="str">
        <f t="shared" si="1"/>
        <v> = 'B16005_013',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2" t="s">
        <v>10</v>
      </c>
      <c r="B854" s="1"/>
      <c r="C854" s="7" t="s">
        <v>1158</v>
      </c>
      <c r="D854" s="7" t="s">
        <v>1159</v>
      </c>
      <c r="E854" s="7" t="s">
        <v>2900</v>
      </c>
      <c r="F854" s="3" t="str">
        <f>IFERROR(__xludf.DUMMYFUNCTION("REGEXREPLACE(E854, ""[^A-Za-z0-9]"", """")"),"NativitybyLanguageSpokenatHomebyAbilitytoSpeakEnglishforthePopulation5YearsandOver")</f>
        <v>NativitybyLanguageSpokenatHomebyAbilitytoSpeakEnglishforthePopulation5YearsandOver</v>
      </c>
      <c r="G854" s="7"/>
      <c r="H854" s="7" t="s">
        <v>2947</v>
      </c>
      <c r="I854" s="1" t="s">
        <v>2948</v>
      </c>
      <c r="J854" s="7" t="s">
        <v>2949</v>
      </c>
      <c r="K854" s="1"/>
      <c r="L854" s="1" t="s">
        <v>2950</v>
      </c>
      <c r="M854" s="1"/>
      <c r="N854" s="1"/>
      <c r="O854" s="1" t="str">
        <f t="shared" si="1"/>
        <v> = 'B16005_014',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2" t="s">
        <v>10</v>
      </c>
      <c r="B855" s="1"/>
      <c r="C855" s="7" t="s">
        <v>1158</v>
      </c>
      <c r="D855" s="7" t="s">
        <v>1159</v>
      </c>
      <c r="E855" s="7" t="s">
        <v>2900</v>
      </c>
      <c r="F855" s="3" t="str">
        <f>IFERROR(__xludf.DUMMYFUNCTION("REGEXREPLACE(E855, ""[^A-Za-z0-9]"", """")"),"NativitybyLanguageSpokenatHomebyAbilitytoSpeakEnglishforthePopulation5YearsandOver")</f>
        <v>NativitybyLanguageSpokenatHomebyAbilitytoSpeakEnglishforthePopulation5YearsandOver</v>
      </c>
      <c r="G855" s="7"/>
      <c r="H855" s="7" t="s">
        <v>2951</v>
      </c>
      <c r="I855" s="1" t="s">
        <v>2952</v>
      </c>
      <c r="J855" s="7" t="s">
        <v>2953</v>
      </c>
      <c r="K855" s="1"/>
      <c r="L855" s="1" t="s">
        <v>2954</v>
      </c>
      <c r="M855" s="1"/>
      <c r="N855" s="1"/>
      <c r="O855" s="1" t="str">
        <f t="shared" si="1"/>
        <v> = 'B16005_015',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2" t="s">
        <v>10</v>
      </c>
      <c r="B856" s="1"/>
      <c r="C856" s="7" t="s">
        <v>1158</v>
      </c>
      <c r="D856" s="7" t="s">
        <v>1159</v>
      </c>
      <c r="E856" s="7" t="s">
        <v>2900</v>
      </c>
      <c r="F856" s="3" t="str">
        <f>IFERROR(__xludf.DUMMYFUNCTION("REGEXREPLACE(E856, ""[^A-Za-z0-9]"", """")"),"NativitybyLanguageSpokenatHomebyAbilitytoSpeakEnglishforthePopulation5YearsandOver")</f>
        <v>NativitybyLanguageSpokenatHomebyAbilitytoSpeakEnglishforthePopulation5YearsandOver</v>
      </c>
      <c r="G856" s="7"/>
      <c r="H856" s="7" t="s">
        <v>2955</v>
      </c>
      <c r="I856" s="1" t="s">
        <v>2956</v>
      </c>
      <c r="J856" s="7" t="s">
        <v>2957</v>
      </c>
      <c r="K856" s="1"/>
      <c r="L856" s="1" t="s">
        <v>2958</v>
      </c>
      <c r="M856" s="1"/>
      <c r="N856" s="1"/>
      <c r="O856" s="1" t="str">
        <f t="shared" si="1"/>
        <v> = 'B16005_016',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2" t="s">
        <v>10</v>
      </c>
      <c r="B857" s="1"/>
      <c r="C857" s="7" t="s">
        <v>1158</v>
      </c>
      <c r="D857" s="7" t="s">
        <v>1159</v>
      </c>
      <c r="E857" s="7" t="s">
        <v>2900</v>
      </c>
      <c r="F857" s="3" t="str">
        <f>IFERROR(__xludf.DUMMYFUNCTION("REGEXREPLACE(E857, ""[^A-Za-z0-9]"", """")"),"NativitybyLanguageSpokenatHomebyAbilitytoSpeakEnglishforthePopulation5YearsandOver")</f>
        <v>NativitybyLanguageSpokenatHomebyAbilitytoSpeakEnglishforthePopulation5YearsandOver</v>
      </c>
      <c r="G857" s="7"/>
      <c r="H857" s="7" t="s">
        <v>2959</v>
      </c>
      <c r="I857" s="1" t="s">
        <v>2960</v>
      </c>
      <c r="J857" s="7" t="s">
        <v>2961</v>
      </c>
      <c r="K857" s="1"/>
      <c r="L857" s="1" t="s">
        <v>2962</v>
      </c>
      <c r="M857" s="1"/>
      <c r="N857" s="1"/>
      <c r="O857" s="1" t="str">
        <f t="shared" si="1"/>
        <v> = 'B16005_017',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2" t="s">
        <v>10</v>
      </c>
      <c r="B858" s="1"/>
      <c r="C858" s="7" t="s">
        <v>1158</v>
      </c>
      <c r="D858" s="7" t="s">
        <v>1159</v>
      </c>
      <c r="E858" s="7" t="s">
        <v>2900</v>
      </c>
      <c r="F858" s="3" t="str">
        <f>IFERROR(__xludf.DUMMYFUNCTION("REGEXREPLACE(E858, ""[^A-Za-z0-9]"", """")"),"NativitybyLanguageSpokenatHomebyAbilitytoSpeakEnglishforthePopulation5YearsandOver")</f>
        <v>NativitybyLanguageSpokenatHomebyAbilitytoSpeakEnglishforthePopulation5YearsandOver</v>
      </c>
      <c r="G858" s="7"/>
      <c r="H858" s="7" t="s">
        <v>2963</v>
      </c>
      <c r="I858" s="1" t="s">
        <v>2964</v>
      </c>
      <c r="J858" s="7" t="s">
        <v>2965</v>
      </c>
      <c r="K858" s="1"/>
      <c r="L858" s="1" t="s">
        <v>2966</v>
      </c>
      <c r="M858" s="1"/>
      <c r="N858" s="1"/>
      <c r="O858" s="1" t="str">
        <f t="shared" si="1"/>
        <v> = 'B16005_018',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2" t="s">
        <v>10</v>
      </c>
      <c r="B859" s="1"/>
      <c r="C859" s="7" t="s">
        <v>1158</v>
      </c>
      <c r="D859" s="7" t="s">
        <v>1159</v>
      </c>
      <c r="E859" s="7" t="s">
        <v>2900</v>
      </c>
      <c r="F859" s="3" t="str">
        <f>IFERROR(__xludf.DUMMYFUNCTION("REGEXREPLACE(E859, ""[^A-Za-z0-9]"", """")"),"NativitybyLanguageSpokenatHomebyAbilitytoSpeakEnglishforthePopulation5YearsandOver")</f>
        <v>NativitybyLanguageSpokenatHomebyAbilitytoSpeakEnglishforthePopulation5YearsandOver</v>
      </c>
      <c r="G859" s="7"/>
      <c r="H859" s="7" t="s">
        <v>2967</v>
      </c>
      <c r="I859" s="1" t="s">
        <v>2968</v>
      </c>
      <c r="J859" s="7" t="s">
        <v>2969</v>
      </c>
      <c r="K859" s="1"/>
      <c r="L859" s="1" t="s">
        <v>2970</v>
      </c>
      <c r="M859" s="1"/>
      <c r="N859" s="1"/>
      <c r="O859" s="1" t="str">
        <f t="shared" si="1"/>
        <v> = 'B16005_019',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2" t="s">
        <v>10</v>
      </c>
      <c r="B860" s="1"/>
      <c r="C860" s="7" t="s">
        <v>1158</v>
      </c>
      <c r="D860" s="7" t="s">
        <v>1159</v>
      </c>
      <c r="E860" s="7" t="s">
        <v>2900</v>
      </c>
      <c r="F860" s="3" t="str">
        <f>IFERROR(__xludf.DUMMYFUNCTION("REGEXREPLACE(E860, ""[^A-Za-z0-9]"", """")"),"NativitybyLanguageSpokenatHomebyAbilitytoSpeakEnglishforthePopulation5YearsandOver")</f>
        <v>NativitybyLanguageSpokenatHomebyAbilitytoSpeakEnglishforthePopulation5YearsandOver</v>
      </c>
      <c r="G860" s="7"/>
      <c r="H860" s="7" t="s">
        <v>2971</v>
      </c>
      <c r="I860" s="1" t="s">
        <v>2972</v>
      </c>
      <c r="J860" s="7" t="s">
        <v>2973</v>
      </c>
      <c r="K860" s="1"/>
      <c r="L860" s="1" t="s">
        <v>2974</v>
      </c>
      <c r="M860" s="1"/>
      <c r="N860" s="1"/>
      <c r="O860" s="1" t="str">
        <f t="shared" si="1"/>
        <v> = 'B16005_020',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2" t="s">
        <v>10</v>
      </c>
      <c r="B861" s="1"/>
      <c r="C861" s="7" t="s">
        <v>1158</v>
      </c>
      <c r="D861" s="7" t="s">
        <v>1159</v>
      </c>
      <c r="E861" s="7" t="s">
        <v>2900</v>
      </c>
      <c r="F861" s="3" t="str">
        <f>IFERROR(__xludf.DUMMYFUNCTION("REGEXREPLACE(E861, ""[^A-Za-z0-9]"", """")"),"NativitybyLanguageSpokenatHomebyAbilitytoSpeakEnglishforthePopulation5YearsandOver")</f>
        <v>NativitybyLanguageSpokenatHomebyAbilitytoSpeakEnglishforthePopulation5YearsandOver</v>
      </c>
      <c r="G861" s="7"/>
      <c r="H861" s="7" t="s">
        <v>2975</v>
      </c>
      <c r="I861" s="1" t="s">
        <v>2976</v>
      </c>
      <c r="J861" s="7" t="s">
        <v>2977</v>
      </c>
      <c r="K861" s="1"/>
      <c r="L861" s="1" t="s">
        <v>2978</v>
      </c>
      <c r="M861" s="1"/>
      <c r="N861" s="1"/>
      <c r="O861" s="1" t="str">
        <f t="shared" si="1"/>
        <v> = 'B16005_021',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2" t="s">
        <v>10</v>
      </c>
      <c r="B862" s="1"/>
      <c r="C862" s="7" t="s">
        <v>1158</v>
      </c>
      <c r="D862" s="7" t="s">
        <v>1159</v>
      </c>
      <c r="E862" s="7" t="s">
        <v>2900</v>
      </c>
      <c r="F862" s="3" t="str">
        <f>IFERROR(__xludf.DUMMYFUNCTION("REGEXREPLACE(E862, ""[^A-Za-z0-9]"", """")"),"NativitybyLanguageSpokenatHomebyAbilitytoSpeakEnglishforthePopulation5YearsandOver")</f>
        <v>NativitybyLanguageSpokenatHomebyAbilitytoSpeakEnglishforthePopulation5YearsandOver</v>
      </c>
      <c r="G862" s="7"/>
      <c r="H862" s="7" t="s">
        <v>2979</v>
      </c>
      <c r="I862" s="1" t="s">
        <v>2980</v>
      </c>
      <c r="J862" s="7" t="s">
        <v>2981</v>
      </c>
      <c r="K862" s="1"/>
      <c r="L862" s="1" t="s">
        <v>2982</v>
      </c>
      <c r="M862" s="1"/>
      <c r="N862" s="1"/>
      <c r="O862" s="1" t="str">
        <f t="shared" si="1"/>
        <v> = 'B16005_022',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2" t="s">
        <v>10</v>
      </c>
      <c r="B863" s="1"/>
      <c r="C863" s="7" t="s">
        <v>1158</v>
      </c>
      <c r="D863" s="7" t="s">
        <v>1159</v>
      </c>
      <c r="E863" s="7" t="s">
        <v>2900</v>
      </c>
      <c r="F863" s="3" t="str">
        <f>IFERROR(__xludf.DUMMYFUNCTION("REGEXREPLACE(E863, ""[^A-Za-z0-9]"", """")"),"NativitybyLanguageSpokenatHomebyAbilitytoSpeakEnglishforthePopulation5YearsandOver")</f>
        <v>NativitybyLanguageSpokenatHomebyAbilitytoSpeakEnglishforthePopulation5YearsandOver</v>
      </c>
      <c r="G863" s="7"/>
      <c r="H863" s="7" t="s">
        <v>2983</v>
      </c>
      <c r="I863" s="1" t="s">
        <v>2984</v>
      </c>
      <c r="J863" s="7" t="s">
        <v>2985</v>
      </c>
      <c r="K863" s="1"/>
      <c r="L863" s="1" t="s">
        <v>2986</v>
      </c>
      <c r="M863" s="1"/>
      <c r="N863" s="1"/>
      <c r="O863" s="1" t="str">
        <f t="shared" si="1"/>
        <v> = 'B16005_023',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2" t="s">
        <v>10</v>
      </c>
      <c r="B864" s="1"/>
      <c r="C864" s="7" t="s">
        <v>1158</v>
      </c>
      <c r="D864" s="7" t="s">
        <v>1159</v>
      </c>
      <c r="E864" s="7" t="s">
        <v>2900</v>
      </c>
      <c r="F864" s="3" t="str">
        <f>IFERROR(__xludf.DUMMYFUNCTION("REGEXREPLACE(E864, ""[^A-Za-z0-9]"", """")"),"NativitybyLanguageSpokenatHomebyAbilitytoSpeakEnglishforthePopulation5YearsandOver")</f>
        <v>NativitybyLanguageSpokenatHomebyAbilitytoSpeakEnglishforthePopulation5YearsandOver</v>
      </c>
      <c r="G864" s="7"/>
      <c r="H864" s="7" t="s">
        <v>2696</v>
      </c>
      <c r="I864" s="1" t="s">
        <v>2987</v>
      </c>
      <c r="J864" s="7" t="s">
        <v>2988</v>
      </c>
      <c r="K864" s="1"/>
      <c r="L864" s="1" t="s">
        <v>2699</v>
      </c>
      <c r="M864" s="1"/>
      <c r="N864" s="1"/>
      <c r="O864" s="1" t="str">
        <f t="shared" si="1"/>
        <v> = 'B16005_024',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2" t="s">
        <v>10</v>
      </c>
      <c r="B865" s="1"/>
      <c r="C865" s="7" t="s">
        <v>1158</v>
      </c>
      <c r="D865" s="7" t="s">
        <v>1159</v>
      </c>
      <c r="E865" s="7" t="s">
        <v>2900</v>
      </c>
      <c r="F865" s="3" t="str">
        <f>IFERROR(__xludf.DUMMYFUNCTION("REGEXREPLACE(E865, ""[^A-Za-z0-9]"", """")"),"NativitybyLanguageSpokenatHomebyAbilitytoSpeakEnglishforthePopulation5YearsandOver")</f>
        <v>NativitybyLanguageSpokenatHomebyAbilitytoSpeakEnglishforthePopulation5YearsandOver</v>
      </c>
      <c r="G865" s="7"/>
      <c r="H865" s="7" t="s">
        <v>2700</v>
      </c>
      <c r="I865" s="1" t="s">
        <v>2989</v>
      </c>
      <c r="J865" s="7" t="s">
        <v>2990</v>
      </c>
      <c r="K865" s="1"/>
      <c r="L865" s="1" t="s">
        <v>2703</v>
      </c>
      <c r="M865" s="1"/>
      <c r="N865" s="1"/>
      <c r="O865" s="1" t="str">
        <f t="shared" si="1"/>
        <v> = 'B16005_025',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2" t="s">
        <v>10</v>
      </c>
      <c r="B866" s="1"/>
      <c r="C866" s="7" t="s">
        <v>1158</v>
      </c>
      <c r="D866" s="7" t="s">
        <v>1159</v>
      </c>
      <c r="E866" s="7" t="s">
        <v>2900</v>
      </c>
      <c r="F866" s="3" t="str">
        <f>IFERROR(__xludf.DUMMYFUNCTION("REGEXREPLACE(E866, ""[^A-Za-z0-9]"", """")"),"NativitybyLanguageSpokenatHomebyAbilitytoSpeakEnglishforthePopulation5YearsandOver")</f>
        <v>NativitybyLanguageSpokenatHomebyAbilitytoSpeakEnglishforthePopulation5YearsandOver</v>
      </c>
      <c r="G866" s="7"/>
      <c r="H866" s="7" t="s">
        <v>2991</v>
      </c>
      <c r="I866" s="1" t="s">
        <v>2992</v>
      </c>
      <c r="J866" s="7" t="s">
        <v>2993</v>
      </c>
      <c r="K866" s="1"/>
      <c r="L866" s="1" t="s">
        <v>2994</v>
      </c>
      <c r="M866" s="1"/>
      <c r="N866" s="1"/>
      <c r="O866" s="1" t="str">
        <f t="shared" si="1"/>
        <v> = 'B16005_026',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2" t="s">
        <v>10</v>
      </c>
      <c r="B867" s="1"/>
      <c r="C867" s="7" t="s">
        <v>1158</v>
      </c>
      <c r="D867" s="7" t="s">
        <v>1159</v>
      </c>
      <c r="E867" s="7" t="s">
        <v>2900</v>
      </c>
      <c r="F867" s="3" t="str">
        <f>IFERROR(__xludf.DUMMYFUNCTION("REGEXREPLACE(E867, ""[^A-Za-z0-9]"", """")"),"NativitybyLanguageSpokenatHomebyAbilitytoSpeakEnglishforthePopulation5YearsandOver")</f>
        <v>NativitybyLanguageSpokenatHomebyAbilitytoSpeakEnglishforthePopulation5YearsandOver</v>
      </c>
      <c r="G867" s="7"/>
      <c r="H867" s="7" t="s">
        <v>2995</v>
      </c>
      <c r="I867" s="1" t="s">
        <v>2996</v>
      </c>
      <c r="J867" s="7" t="s">
        <v>2997</v>
      </c>
      <c r="K867" s="1"/>
      <c r="L867" s="1" t="s">
        <v>2998</v>
      </c>
      <c r="M867" s="1"/>
      <c r="N867" s="1"/>
      <c r="O867" s="1" t="str">
        <f t="shared" si="1"/>
        <v> = 'B16005_027',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2" t="s">
        <v>10</v>
      </c>
      <c r="B868" s="1"/>
      <c r="C868" s="7" t="s">
        <v>1158</v>
      </c>
      <c r="D868" s="7" t="s">
        <v>1159</v>
      </c>
      <c r="E868" s="7" t="s">
        <v>2900</v>
      </c>
      <c r="F868" s="3" t="str">
        <f>IFERROR(__xludf.DUMMYFUNCTION("REGEXREPLACE(E868, ""[^A-Za-z0-9]"", """")"),"NativitybyLanguageSpokenatHomebyAbilitytoSpeakEnglishforthePopulation5YearsandOver")</f>
        <v>NativitybyLanguageSpokenatHomebyAbilitytoSpeakEnglishforthePopulation5YearsandOver</v>
      </c>
      <c r="G868" s="7"/>
      <c r="H868" s="7" t="s">
        <v>2999</v>
      </c>
      <c r="I868" s="1" t="s">
        <v>3000</v>
      </c>
      <c r="J868" s="7" t="s">
        <v>3001</v>
      </c>
      <c r="K868" s="1"/>
      <c r="L868" s="1" t="s">
        <v>3002</v>
      </c>
      <c r="M868" s="1"/>
      <c r="N868" s="1"/>
      <c r="O868" s="1" t="str">
        <f t="shared" si="1"/>
        <v> = 'B16005_028',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2" t="s">
        <v>10</v>
      </c>
      <c r="B869" s="1"/>
      <c r="C869" s="7" t="s">
        <v>1158</v>
      </c>
      <c r="D869" s="7" t="s">
        <v>1159</v>
      </c>
      <c r="E869" s="7" t="s">
        <v>2900</v>
      </c>
      <c r="F869" s="3" t="str">
        <f>IFERROR(__xludf.DUMMYFUNCTION("REGEXREPLACE(E869, ""[^A-Za-z0-9]"", """")"),"NativitybyLanguageSpokenatHomebyAbilitytoSpeakEnglishforthePopulation5YearsandOver")</f>
        <v>NativitybyLanguageSpokenatHomebyAbilitytoSpeakEnglishforthePopulation5YearsandOver</v>
      </c>
      <c r="G869" s="7"/>
      <c r="H869" s="7" t="s">
        <v>3003</v>
      </c>
      <c r="I869" s="1" t="s">
        <v>3004</v>
      </c>
      <c r="J869" s="7" t="s">
        <v>3005</v>
      </c>
      <c r="K869" s="1"/>
      <c r="L869" s="1" t="s">
        <v>3006</v>
      </c>
      <c r="M869" s="1"/>
      <c r="N869" s="1"/>
      <c r="O869" s="1" t="str">
        <f t="shared" si="1"/>
        <v> = 'B16005_029',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2" t="s">
        <v>10</v>
      </c>
      <c r="B870" s="1"/>
      <c r="C870" s="7" t="s">
        <v>1158</v>
      </c>
      <c r="D870" s="7" t="s">
        <v>1159</v>
      </c>
      <c r="E870" s="7" t="s">
        <v>2900</v>
      </c>
      <c r="F870" s="3" t="str">
        <f>IFERROR(__xludf.DUMMYFUNCTION("REGEXREPLACE(E870, ""[^A-Za-z0-9]"", """")"),"NativitybyLanguageSpokenatHomebyAbilitytoSpeakEnglishforthePopulation5YearsandOver")</f>
        <v>NativitybyLanguageSpokenatHomebyAbilitytoSpeakEnglishforthePopulation5YearsandOver</v>
      </c>
      <c r="G870" s="7"/>
      <c r="H870" s="7" t="s">
        <v>3007</v>
      </c>
      <c r="I870" s="1" t="s">
        <v>3008</v>
      </c>
      <c r="J870" s="7" t="s">
        <v>3009</v>
      </c>
      <c r="K870" s="1"/>
      <c r="L870" s="1" t="s">
        <v>3010</v>
      </c>
      <c r="M870" s="1"/>
      <c r="N870" s="1"/>
      <c r="O870" s="1" t="str">
        <f t="shared" si="1"/>
        <v> = 'B16005_030',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2" t="s">
        <v>10</v>
      </c>
      <c r="B871" s="1"/>
      <c r="C871" s="7" t="s">
        <v>1158</v>
      </c>
      <c r="D871" s="7" t="s">
        <v>1159</v>
      </c>
      <c r="E871" s="7" t="s">
        <v>2900</v>
      </c>
      <c r="F871" s="3" t="str">
        <f>IFERROR(__xludf.DUMMYFUNCTION("REGEXREPLACE(E871, ""[^A-Za-z0-9]"", """")"),"NativitybyLanguageSpokenatHomebyAbilitytoSpeakEnglishforthePopulation5YearsandOver")</f>
        <v>NativitybyLanguageSpokenatHomebyAbilitytoSpeakEnglishforthePopulation5YearsandOver</v>
      </c>
      <c r="G871" s="7"/>
      <c r="H871" s="7" t="s">
        <v>3011</v>
      </c>
      <c r="I871" s="1" t="s">
        <v>3012</v>
      </c>
      <c r="J871" s="7" t="s">
        <v>3013</v>
      </c>
      <c r="K871" s="1"/>
      <c r="L871" s="1" t="s">
        <v>3014</v>
      </c>
      <c r="M871" s="1"/>
      <c r="N871" s="1"/>
      <c r="O871" s="1" t="str">
        <f t="shared" si="1"/>
        <v> = 'B16005_031',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2" t="s">
        <v>10</v>
      </c>
      <c r="B872" s="1"/>
      <c r="C872" s="7" t="s">
        <v>1158</v>
      </c>
      <c r="D872" s="7" t="s">
        <v>1159</v>
      </c>
      <c r="E872" s="7" t="s">
        <v>2900</v>
      </c>
      <c r="F872" s="3" t="str">
        <f>IFERROR(__xludf.DUMMYFUNCTION("REGEXREPLACE(E872, ""[^A-Za-z0-9]"", """")"),"NativitybyLanguageSpokenatHomebyAbilitytoSpeakEnglishforthePopulation5YearsandOver")</f>
        <v>NativitybyLanguageSpokenatHomebyAbilitytoSpeakEnglishforthePopulation5YearsandOver</v>
      </c>
      <c r="G872" s="7"/>
      <c r="H872" s="7" t="s">
        <v>3015</v>
      </c>
      <c r="I872" s="1" t="s">
        <v>3016</v>
      </c>
      <c r="J872" s="7" t="s">
        <v>3017</v>
      </c>
      <c r="K872" s="1"/>
      <c r="L872" s="1" t="s">
        <v>3018</v>
      </c>
      <c r="M872" s="1"/>
      <c r="N872" s="1"/>
      <c r="O872" s="1" t="str">
        <f t="shared" si="1"/>
        <v> = 'B16005_032',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2" t="s">
        <v>10</v>
      </c>
      <c r="B873" s="1"/>
      <c r="C873" s="7" t="s">
        <v>1158</v>
      </c>
      <c r="D873" s="7" t="s">
        <v>1159</v>
      </c>
      <c r="E873" s="7" t="s">
        <v>2900</v>
      </c>
      <c r="F873" s="3" t="str">
        <f>IFERROR(__xludf.DUMMYFUNCTION("REGEXREPLACE(E873, ""[^A-Za-z0-9]"", """")"),"NativitybyLanguageSpokenatHomebyAbilitytoSpeakEnglishforthePopulation5YearsandOver")</f>
        <v>NativitybyLanguageSpokenatHomebyAbilitytoSpeakEnglishforthePopulation5YearsandOver</v>
      </c>
      <c r="G873" s="7"/>
      <c r="H873" s="7" t="s">
        <v>3019</v>
      </c>
      <c r="I873" s="1" t="s">
        <v>3020</v>
      </c>
      <c r="J873" s="7" t="s">
        <v>3021</v>
      </c>
      <c r="K873" s="1"/>
      <c r="L873" s="1" t="s">
        <v>3022</v>
      </c>
      <c r="M873" s="1"/>
      <c r="N873" s="1"/>
      <c r="O873" s="1" t="str">
        <f t="shared" si="1"/>
        <v> = 'B16005_033',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2" t="s">
        <v>10</v>
      </c>
      <c r="B874" s="1"/>
      <c r="C874" s="7" t="s">
        <v>1158</v>
      </c>
      <c r="D874" s="7" t="s">
        <v>1159</v>
      </c>
      <c r="E874" s="7" t="s">
        <v>2900</v>
      </c>
      <c r="F874" s="3" t="str">
        <f>IFERROR(__xludf.DUMMYFUNCTION("REGEXREPLACE(E874, ""[^A-Za-z0-9]"", """")"),"NativitybyLanguageSpokenatHomebyAbilitytoSpeakEnglishforthePopulation5YearsandOver")</f>
        <v>NativitybyLanguageSpokenatHomebyAbilitytoSpeakEnglishforthePopulation5YearsandOver</v>
      </c>
      <c r="G874" s="7"/>
      <c r="H874" s="7" t="s">
        <v>3023</v>
      </c>
      <c r="I874" s="1" t="s">
        <v>3024</v>
      </c>
      <c r="J874" s="7" t="s">
        <v>3025</v>
      </c>
      <c r="K874" s="1"/>
      <c r="L874" s="1" t="s">
        <v>3026</v>
      </c>
      <c r="M874" s="1"/>
      <c r="N874" s="1"/>
      <c r="O874" s="1" t="str">
        <f t="shared" si="1"/>
        <v> = 'B16005_034',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2" t="s">
        <v>10</v>
      </c>
      <c r="B875" s="1"/>
      <c r="C875" s="7" t="s">
        <v>1158</v>
      </c>
      <c r="D875" s="7" t="s">
        <v>1159</v>
      </c>
      <c r="E875" s="7" t="s">
        <v>2900</v>
      </c>
      <c r="F875" s="3" t="str">
        <f>IFERROR(__xludf.DUMMYFUNCTION("REGEXREPLACE(E875, ""[^A-Za-z0-9]"", """")"),"NativitybyLanguageSpokenatHomebyAbilitytoSpeakEnglishforthePopulation5YearsandOver")</f>
        <v>NativitybyLanguageSpokenatHomebyAbilitytoSpeakEnglishforthePopulation5YearsandOver</v>
      </c>
      <c r="G875" s="7"/>
      <c r="H875" s="7" t="s">
        <v>3027</v>
      </c>
      <c r="I875" s="1" t="s">
        <v>3028</v>
      </c>
      <c r="J875" s="7" t="s">
        <v>3029</v>
      </c>
      <c r="K875" s="1"/>
      <c r="L875" s="1" t="s">
        <v>3030</v>
      </c>
      <c r="M875" s="1"/>
      <c r="N875" s="1"/>
      <c r="O875" s="1" t="str">
        <f t="shared" si="1"/>
        <v> = 'B16005_035',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2" t="s">
        <v>10</v>
      </c>
      <c r="B876" s="1"/>
      <c r="C876" s="7" t="s">
        <v>1158</v>
      </c>
      <c r="D876" s="7" t="s">
        <v>1159</v>
      </c>
      <c r="E876" s="7" t="s">
        <v>2900</v>
      </c>
      <c r="F876" s="3" t="str">
        <f>IFERROR(__xludf.DUMMYFUNCTION("REGEXREPLACE(E876, ""[^A-Za-z0-9]"", """")"),"NativitybyLanguageSpokenatHomebyAbilitytoSpeakEnglishforthePopulation5YearsandOver")</f>
        <v>NativitybyLanguageSpokenatHomebyAbilitytoSpeakEnglishforthePopulation5YearsandOver</v>
      </c>
      <c r="G876" s="7"/>
      <c r="H876" s="7" t="s">
        <v>3031</v>
      </c>
      <c r="I876" s="1" t="s">
        <v>3032</v>
      </c>
      <c r="J876" s="7" t="s">
        <v>3033</v>
      </c>
      <c r="K876" s="1"/>
      <c r="L876" s="1" t="s">
        <v>3034</v>
      </c>
      <c r="M876" s="1"/>
      <c r="N876" s="1"/>
      <c r="O876" s="1" t="str">
        <f t="shared" si="1"/>
        <v> = 'B16005_036',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2" t="s">
        <v>10</v>
      </c>
      <c r="B877" s="1"/>
      <c r="C877" s="7" t="s">
        <v>1158</v>
      </c>
      <c r="D877" s="7" t="s">
        <v>1159</v>
      </c>
      <c r="E877" s="7" t="s">
        <v>2900</v>
      </c>
      <c r="F877" s="3" t="str">
        <f>IFERROR(__xludf.DUMMYFUNCTION("REGEXREPLACE(E877, ""[^A-Za-z0-9]"", """")"),"NativitybyLanguageSpokenatHomebyAbilitytoSpeakEnglishforthePopulation5YearsandOver")</f>
        <v>NativitybyLanguageSpokenatHomebyAbilitytoSpeakEnglishforthePopulation5YearsandOver</v>
      </c>
      <c r="G877" s="7"/>
      <c r="H877" s="7" t="s">
        <v>3035</v>
      </c>
      <c r="I877" s="1" t="s">
        <v>3036</v>
      </c>
      <c r="J877" s="7" t="s">
        <v>3037</v>
      </c>
      <c r="K877" s="1"/>
      <c r="L877" s="1" t="s">
        <v>3038</v>
      </c>
      <c r="M877" s="1"/>
      <c r="N877" s="1"/>
      <c r="O877" s="1" t="str">
        <f t="shared" si="1"/>
        <v> = 'B16005_037',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2" t="s">
        <v>10</v>
      </c>
      <c r="B878" s="1"/>
      <c r="C878" s="7" t="s">
        <v>1158</v>
      </c>
      <c r="D878" s="7" t="s">
        <v>1159</v>
      </c>
      <c r="E878" s="7" t="s">
        <v>2900</v>
      </c>
      <c r="F878" s="3" t="str">
        <f>IFERROR(__xludf.DUMMYFUNCTION("REGEXREPLACE(E878, ""[^A-Za-z0-9]"", """")"),"NativitybyLanguageSpokenatHomebyAbilitytoSpeakEnglishforthePopulation5YearsandOver")</f>
        <v>NativitybyLanguageSpokenatHomebyAbilitytoSpeakEnglishforthePopulation5YearsandOver</v>
      </c>
      <c r="G878" s="7"/>
      <c r="H878" s="7" t="s">
        <v>3039</v>
      </c>
      <c r="I878" s="1" t="s">
        <v>3040</v>
      </c>
      <c r="J878" s="7" t="s">
        <v>3041</v>
      </c>
      <c r="K878" s="1"/>
      <c r="L878" s="1" t="s">
        <v>3042</v>
      </c>
      <c r="M878" s="1"/>
      <c r="N878" s="1"/>
      <c r="O878" s="1" t="str">
        <f t="shared" si="1"/>
        <v> = 'B16005_038',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2" t="s">
        <v>10</v>
      </c>
      <c r="B879" s="1"/>
      <c r="C879" s="7" t="s">
        <v>1158</v>
      </c>
      <c r="D879" s="7" t="s">
        <v>1159</v>
      </c>
      <c r="E879" s="7" t="s">
        <v>2900</v>
      </c>
      <c r="F879" s="3" t="str">
        <f>IFERROR(__xludf.DUMMYFUNCTION("REGEXREPLACE(E879, ""[^A-Za-z0-9]"", """")"),"NativitybyLanguageSpokenatHomebyAbilitytoSpeakEnglishforthePopulation5YearsandOver")</f>
        <v>NativitybyLanguageSpokenatHomebyAbilitytoSpeakEnglishforthePopulation5YearsandOver</v>
      </c>
      <c r="G879" s="7"/>
      <c r="H879" s="7" t="s">
        <v>3043</v>
      </c>
      <c r="I879" s="1" t="s">
        <v>3044</v>
      </c>
      <c r="J879" s="7" t="s">
        <v>3045</v>
      </c>
      <c r="K879" s="1"/>
      <c r="L879" s="1" t="s">
        <v>3046</v>
      </c>
      <c r="M879" s="1"/>
      <c r="N879" s="1"/>
      <c r="O879" s="1" t="str">
        <f t="shared" si="1"/>
        <v> = 'B16005_039',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2" t="s">
        <v>10</v>
      </c>
      <c r="B880" s="1"/>
      <c r="C880" s="7" t="s">
        <v>1158</v>
      </c>
      <c r="D880" s="7" t="s">
        <v>1159</v>
      </c>
      <c r="E880" s="7" t="s">
        <v>2900</v>
      </c>
      <c r="F880" s="3" t="str">
        <f>IFERROR(__xludf.DUMMYFUNCTION("REGEXREPLACE(E880, ""[^A-Za-z0-9]"", """")"),"NativitybyLanguageSpokenatHomebyAbilitytoSpeakEnglishforthePopulation5YearsandOver")</f>
        <v>NativitybyLanguageSpokenatHomebyAbilitytoSpeakEnglishforthePopulation5YearsandOver</v>
      </c>
      <c r="G880" s="7"/>
      <c r="H880" s="7" t="s">
        <v>3047</v>
      </c>
      <c r="I880" s="1" t="s">
        <v>3048</v>
      </c>
      <c r="J880" s="7" t="s">
        <v>3049</v>
      </c>
      <c r="K880" s="1"/>
      <c r="L880" s="1" t="s">
        <v>3050</v>
      </c>
      <c r="M880" s="1"/>
      <c r="N880" s="1"/>
      <c r="O880" s="1" t="str">
        <f t="shared" si="1"/>
        <v> = 'B16005_040',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2" t="s">
        <v>10</v>
      </c>
      <c r="B881" s="1"/>
      <c r="C881" s="7" t="s">
        <v>1158</v>
      </c>
      <c r="D881" s="7" t="s">
        <v>1159</v>
      </c>
      <c r="E881" s="7" t="s">
        <v>2900</v>
      </c>
      <c r="F881" s="3" t="str">
        <f>IFERROR(__xludf.DUMMYFUNCTION("REGEXREPLACE(E881, ""[^A-Za-z0-9]"", """")"),"NativitybyLanguageSpokenatHomebyAbilitytoSpeakEnglishforthePopulation5YearsandOver")</f>
        <v>NativitybyLanguageSpokenatHomebyAbilitytoSpeakEnglishforthePopulation5YearsandOver</v>
      </c>
      <c r="G881" s="7"/>
      <c r="H881" s="7" t="s">
        <v>3051</v>
      </c>
      <c r="I881" s="1" t="s">
        <v>3052</v>
      </c>
      <c r="J881" s="7" t="s">
        <v>3053</v>
      </c>
      <c r="K881" s="1"/>
      <c r="L881" s="1" t="s">
        <v>3054</v>
      </c>
      <c r="M881" s="1"/>
      <c r="N881" s="1"/>
      <c r="O881" s="1" t="str">
        <f t="shared" si="1"/>
        <v> = 'B16005_041',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2" t="s">
        <v>10</v>
      </c>
      <c r="B882" s="1"/>
      <c r="C882" s="7" t="s">
        <v>1158</v>
      </c>
      <c r="D882" s="7" t="s">
        <v>1159</v>
      </c>
      <c r="E882" s="7" t="s">
        <v>2900</v>
      </c>
      <c r="F882" s="3" t="str">
        <f>IFERROR(__xludf.DUMMYFUNCTION("REGEXREPLACE(E882, ""[^A-Za-z0-9]"", """")"),"NativitybyLanguageSpokenatHomebyAbilitytoSpeakEnglishforthePopulation5YearsandOver")</f>
        <v>NativitybyLanguageSpokenatHomebyAbilitytoSpeakEnglishforthePopulation5YearsandOver</v>
      </c>
      <c r="G882" s="7"/>
      <c r="H882" s="7" t="s">
        <v>3055</v>
      </c>
      <c r="I882" s="1" t="s">
        <v>3056</v>
      </c>
      <c r="J882" s="7" t="s">
        <v>3057</v>
      </c>
      <c r="K882" s="1"/>
      <c r="L882" s="1" t="s">
        <v>3058</v>
      </c>
      <c r="M882" s="1"/>
      <c r="N882" s="1"/>
      <c r="O882" s="1" t="str">
        <f t="shared" si="1"/>
        <v> = 'B16005_042',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2" t="s">
        <v>10</v>
      </c>
      <c r="B883" s="1"/>
      <c r="C883" s="7" t="s">
        <v>1158</v>
      </c>
      <c r="D883" s="7" t="s">
        <v>1159</v>
      </c>
      <c r="E883" s="7" t="s">
        <v>2900</v>
      </c>
      <c r="F883" s="3" t="str">
        <f>IFERROR(__xludf.DUMMYFUNCTION("REGEXREPLACE(E883, ""[^A-Za-z0-9]"", """")"),"NativitybyLanguageSpokenatHomebyAbilitytoSpeakEnglishforthePopulation5YearsandOver")</f>
        <v>NativitybyLanguageSpokenatHomebyAbilitytoSpeakEnglishforthePopulation5YearsandOver</v>
      </c>
      <c r="G883" s="7"/>
      <c r="H883" s="7" t="s">
        <v>3059</v>
      </c>
      <c r="I883" s="1" t="s">
        <v>3060</v>
      </c>
      <c r="J883" s="7" t="s">
        <v>3061</v>
      </c>
      <c r="K883" s="1"/>
      <c r="L883" s="1" t="s">
        <v>3062</v>
      </c>
      <c r="M883" s="1"/>
      <c r="N883" s="1"/>
      <c r="O883" s="1" t="str">
        <f t="shared" si="1"/>
        <v> = 'B16005_043',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2" t="s">
        <v>10</v>
      </c>
      <c r="B884" s="1"/>
      <c r="C884" s="7" t="s">
        <v>1158</v>
      </c>
      <c r="D884" s="7" t="s">
        <v>1159</v>
      </c>
      <c r="E884" s="7" t="s">
        <v>2900</v>
      </c>
      <c r="F884" s="3" t="str">
        <f>IFERROR(__xludf.DUMMYFUNCTION("REGEXREPLACE(E884, ""[^A-Za-z0-9]"", """")"),"NativitybyLanguageSpokenatHomebyAbilitytoSpeakEnglishforthePopulation5YearsandOver")</f>
        <v>NativitybyLanguageSpokenatHomebyAbilitytoSpeakEnglishforthePopulation5YearsandOver</v>
      </c>
      <c r="G884" s="7"/>
      <c r="H884" s="7" t="s">
        <v>3063</v>
      </c>
      <c r="I884" s="1" t="s">
        <v>3064</v>
      </c>
      <c r="J884" s="7" t="s">
        <v>3065</v>
      </c>
      <c r="K884" s="1"/>
      <c r="L884" s="1" t="s">
        <v>3066</v>
      </c>
      <c r="M884" s="1"/>
      <c r="N884" s="1"/>
      <c r="O884" s="1" t="str">
        <f t="shared" si="1"/>
        <v> = 'B16005_044',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2" t="s">
        <v>10</v>
      </c>
      <c r="B885" s="1"/>
      <c r="C885" s="7" t="s">
        <v>1158</v>
      </c>
      <c r="D885" s="7" t="s">
        <v>1159</v>
      </c>
      <c r="E885" s="7" t="s">
        <v>2900</v>
      </c>
      <c r="F885" s="3" t="str">
        <f>IFERROR(__xludf.DUMMYFUNCTION("REGEXREPLACE(E885, ""[^A-Za-z0-9]"", """")"),"NativitybyLanguageSpokenatHomebyAbilitytoSpeakEnglishforthePopulation5YearsandOver")</f>
        <v>NativitybyLanguageSpokenatHomebyAbilitytoSpeakEnglishforthePopulation5YearsandOver</v>
      </c>
      <c r="G885" s="7"/>
      <c r="H885" s="7" t="s">
        <v>3067</v>
      </c>
      <c r="I885" s="1" t="s">
        <v>3068</v>
      </c>
      <c r="J885" s="7" t="s">
        <v>3069</v>
      </c>
      <c r="K885" s="1"/>
      <c r="L885" s="1" t="s">
        <v>3070</v>
      </c>
      <c r="M885" s="1"/>
      <c r="N885" s="1"/>
      <c r="O885" s="1" t="str">
        <f t="shared" si="1"/>
        <v> = 'B16005_045',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2" t="s">
        <v>10</v>
      </c>
      <c r="B886" s="1"/>
      <c r="C886" s="7" t="s">
        <v>1158</v>
      </c>
      <c r="D886" s="7" t="s">
        <v>1159</v>
      </c>
      <c r="E886" s="7" t="s">
        <v>3071</v>
      </c>
      <c r="F886" s="3" t="str">
        <f>IFERROR(__xludf.DUMMYFUNCTION("REGEXREPLACE(E886, ""[^A-Za-z0-9]"", """")"),"LanguageSpokenatHomebyAbilitytoSpeakEnglishforthePopulation5YearsandOverHispanicorLatino")</f>
        <v>LanguageSpokenatHomebyAbilitytoSpeakEnglishforthePopulation5YearsandOverHispanicorLatino</v>
      </c>
      <c r="G886" s="7"/>
      <c r="H886" s="7" t="s">
        <v>16</v>
      </c>
      <c r="I886" s="1" t="s">
        <v>3072</v>
      </c>
      <c r="J886" s="7" t="s">
        <v>3073</v>
      </c>
      <c r="K886" s="1"/>
      <c r="L886" s="1" t="s">
        <v>20</v>
      </c>
      <c r="M886" s="1"/>
      <c r="N886" s="1"/>
      <c r="O886" s="1" t="str">
        <f t="shared" si="1"/>
        <v> = 'B16006_001',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2" t="s">
        <v>10</v>
      </c>
      <c r="B887" s="1"/>
      <c r="C887" s="7" t="s">
        <v>1158</v>
      </c>
      <c r="D887" s="7" t="s">
        <v>1159</v>
      </c>
      <c r="E887" s="7" t="s">
        <v>3071</v>
      </c>
      <c r="F887" s="3" t="str">
        <f>IFERROR(__xludf.DUMMYFUNCTION("REGEXREPLACE(E887, ""[^A-Za-z0-9]"", """")"),"LanguageSpokenatHomebyAbilitytoSpeakEnglishforthePopulation5YearsandOverHispanicorLatino")</f>
        <v>LanguageSpokenatHomebyAbilitytoSpeakEnglishforthePopulation5YearsandOverHispanicorLatino</v>
      </c>
      <c r="G887" s="7"/>
      <c r="H887" s="7" t="s">
        <v>1724</v>
      </c>
      <c r="I887" s="1" t="s">
        <v>3074</v>
      </c>
      <c r="J887" s="7" t="s">
        <v>3075</v>
      </c>
      <c r="K887" s="1"/>
      <c r="L887" s="1" t="s">
        <v>1727</v>
      </c>
      <c r="M887" s="1"/>
      <c r="N887" s="1"/>
      <c r="O887" s="1" t="str">
        <f t="shared" si="1"/>
        <v> = 'B16006_002',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2" t="s">
        <v>10</v>
      </c>
      <c r="B888" s="1"/>
      <c r="C888" s="7" t="s">
        <v>1158</v>
      </c>
      <c r="D888" s="7" t="s">
        <v>1159</v>
      </c>
      <c r="E888" s="7" t="s">
        <v>3071</v>
      </c>
      <c r="F888" s="3" t="str">
        <f>IFERROR(__xludf.DUMMYFUNCTION("REGEXREPLACE(E888, ""[^A-Za-z0-9]"", """")"),"LanguageSpokenatHomebyAbilitytoSpeakEnglishforthePopulation5YearsandOverHispanicorLatino")</f>
        <v>LanguageSpokenatHomebyAbilitytoSpeakEnglishforthePopulation5YearsandOverHispanicorLatino</v>
      </c>
      <c r="G888" s="7"/>
      <c r="H888" s="7" t="s">
        <v>3076</v>
      </c>
      <c r="I888" s="1" t="s">
        <v>3077</v>
      </c>
      <c r="J888" s="7" t="s">
        <v>3078</v>
      </c>
      <c r="K888" s="1"/>
      <c r="L888" s="1" t="s">
        <v>3079</v>
      </c>
      <c r="M888" s="1"/>
      <c r="N888" s="1"/>
      <c r="O888" s="1" t="str">
        <f t="shared" si="1"/>
        <v> = 'B16006_003',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2" t="s">
        <v>10</v>
      </c>
      <c r="B889" s="1"/>
      <c r="C889" s="7" t="s">
        <v>1158</v>
      </c>
      <c r="D889" s="7" t="s">
        <v>1159</v>
      </c>
      <c r="E889" s="7" t="s">
        <v>3071</v>
      </c>
      <c r="F889" s="3" t="str">
        <f>IFERROR(__xludf.DUMMYFUNCTION("REGEXREPLACE(E889, ""[^A-Za-z0-9]"", """")"),"LanguageSpokenatHomebyAbilitytoSpeakEnglishforthePopulation5YearsandOverHispanicorLatino")</f>
        <v>LanguageSpokenatHomebyAbilitytoSpeakEnglishforthePopulation5YearsandOverHispanicorLatino</v>
      </c>
      <c r="G889" s="7"/>
      <c r="H889" s="7" t="s">
        <v>3080</v>
      </c>
      <c r="I889" s="1" t="s">
        <v>3081</v>
      </c>
      <c r="J889" s="7" t="s">
        <v>3082</v>
      </c>
      <c r="K889" s="1"/>
      <c r="L889" s="1" t="s">
        <v>3083</v>
      </c>
      <c r="M889" s="1"/>
      <c r="N889" s="1"/>
      <c r="O889" s="1" t="str">
        <f t="shared" si="1"/>
        <v> = 'B16006_004',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2" t="s">
        <v>10</v>
      </c>
      <c r="B890" s="1"/>
      <c r="C890" s="7" t="s">
        <v>1158</v>
      </c>
      <c r="D890" s="7" t="s">
        <v>1159</v>
      </c>
      <c r="E890" s="7" t="s">
        <v>3071</v>
      </c>
      <c r="F890" s="3" t="str">
        <f>IFERROR(__xludf.DUMMYFUNCTION("REGEXREPLACE(E890, ""[^A-Za-z0-9]"", """")"),"LanguageSpokenatHomebyAbilitytoSpeakEnglishforthePopulation5YearsandOverHispanicorLatino")</f>
        <v>LanguageSpokenatHomebyAbilitytoSpeakEnglishforthePopulation5YearsandOverHispanicorLatino</v>
      </c>
      <c r="G890" s="7"/>
      <c r="H890" s="7" t="s">
        <v>3084</v>
      </c>
      <c r="I890" s="1" t="s">
        <v>3085</v>
      </c>
      <c r="J890" s="7" t="s">
        <v>3086</v>
      </c>
      <c r="K890" s="1"/>
      <c r="L890" s="1" t="s">
        <v>3087</v>
      </c>
      <c r="M890" s="1"/>
      <c r="N890" s="1"/>
      <c r="O890" s="1" t="str">
        <f t="shared" si="1"/>
        <v> = 'B16006_005',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2" t="s">
        <v>10</v>
      </c>
      <c r="B891" s="1"/>
      <c r="C891" s="7" t="s">
        <v>1158</v>
      </c>
      <c r="D891" s="7" t="s">
        <v>1159</v>
      </c>
      <c r="E891" s="7" t="s">
        <v>3071</v>
      </c>
      <c r="F891" s="3" t="str">
        <f>IFERROR(__xludf.DUMMYFUNCTION("REGEXREPLACE(E891, ""[^A-Za-z0-9]"", """")"),"LanguageSpokenatHomebyAbilitytoSpeakEnglishforthePopulation5YearsandOverHispanicorLatino")</f>
        <v>LanguageSpokenatHomebyAbilitytoSpeakEnglishforthePopulation5YearsandOverHispanicorLatino</v>
      </c>
      <c r="G891" s="7"/>
      <c r="H891" s="7" t="s">
        <v>3088</v>
      </c>
      <c r="I891" s="1" t="s">
        <v>3089</v>
      </c>
      <c r="J891" s="7" t="s">
        <v>3090</v>
      </c>
      <c r="K891" s="1"/>
      <c r="L891" s="1" t="s">
        <v>3091</v>
      </c>
      <c r="M891" s="1"/>
      <c r="N891" s="1"/>
      <c r="O891" s="1" t="str">
        <f t="shared" si="1"/>
        <v> = 'B16006_006',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2" t="s">
        <v>10</v>
      </c>
      <c r="B892" s="1"/>
      <c r="C892" s="7" t="s">
        <v>1158</v>
      </c>
      <c r="D892" s="7" t="s">
        <v>1159</v>
      </c>
      <c r="E892" s="7" t="s">
        <v>3071</v>
      </c>
      <c r="F892" s="3" t="str">
        <f>IFERROR(__xludf.DUMMYFUNCTION("REGEXREPLACE(E892, ""[^A-Za-z0-9]"", """")"),"LanguageSpokenatHomebyAbilitytoSpeakEnglishforthePopulation5YearsandOverHispanicorLatino")</f>
        <v>LanguageSpokenatHomebyAbilitytoSpeakEnglishforthePopulation5YearsandOverHispanicorLatino</v>
      </c>
      <c r="G892" s="7"/>
      <c r="H892" s="7" t="s">
        <v>3092</v>
      </c>
      <c r="I892" s="1" t="s">
        <v>3093</v>
      </c>
      <c r="J892" s="7" t="s">
        <v>3094</v>
      </c>
      <c r="K892" s="1"/>
      <c r="L892" s="1" t="s">
        <v>3095</v>
      </c>
      <c r="M892" s="1"/>
      <c r="N892" s="1"/>
      <c r="O892" s="1" t="str">
        <f t="shared" si="1"/>
        <v> = 'B16006_007',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2" t="s">
        <v>10</v>
      </c>
      <c r="B893" s="1"/>
      <c r="C893" s="7" t="s">
        <v>1158</v>
      </c>
      <c r="D893" s="7" t="s">
        <v>1159</v>
      </c>
      <c r="E893" s="7" t="s">
        <v>3071</v>
      </c>
      <c r="F893" s="3" t="str">
        <f>IFERROR(__xludf.DUMMYFUNCTION("REGEXREPLACE(E893, ""[^A-Za-z0-9]"", """")"),"LanguageSpokenatHomebyAbilitytoSpeakEnglishforthePopulation5YearsandOverHispanicorLatino")</f>
        <v>LanguageSpokenatHomebyAbilitytoSpeakEnglishforthePopulation5YearsandOverHispanicorLatino</v>
      </c>
      <c r="G893" s="7"/>
      <c r="H893" s="7" t="s">
        <v>3096</v>
      </c>
      <c r="I893" s="1" t="s">
        <v>3097</v>
      </c>
      <c r="J893" s="7" t="s">
        <v>3098</v>
      </c>
      <c r="K893" s="1"/>
      <c r="L893" s="1" t="s">
        <v>3099</v>
      </c>
      <c r="M893" s="1"/>
      <c r="N893" s="1"/>
      <c r="O893" s="1" t="str">
        <f t="shared" si="1"/>
        <v> = 'B16006_008',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2" t="s">
        <v>10</v>
      </c>
      <c r="B894" s="1"/>
      <c r="C894" s="7" t="s">
        <v>1158</v>
      </c>
      <c r="D894" s="7" t="s">
        <v>1159</v>
      </c>
      <c r="E894" s="7" t="s">
        <v>3100</v>
      </c>
      <c r="F894" s="3" t="str">
        <f>IFERROR(__xludf.DUMMYFUNCTION("REGEXREPLACE(E894, ""[^A-Za-z0-9]"", """")"),"AgebyLanguageSpokenatHomeforthePopulation5YearsandOver")</f>
        <v>AgebyLanguageSpokenatHomeforthePopulation5YearsandOver</v>
      </c>
      <c r="G894" s="7"/>
      <c r="H894" s="7" t="s">
        <v>16</v>
      </c>
      <c r="I894" s="1" t="s">
        <v>3101</v>
      </c>
      <c r="J894" s="7" t="s">
        <v>3102</v>
      </c>
      <c r="K894" s="1"/>
      <c r="L894" s="1" t="s">
        <v>20</v>
      </c>
      <c r="M894" s="1"/>
      <c r="N894" s="1"/>
      <c r="O894" s="1" t="str">
        <f t="shared" si="1"/>
        <v> = 'B16007_001',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2" t="s">
        <v>10</v>
      </c>
      <c r="B895" s="1"/>
      <c r="C895" s="7" t="s">
        <v>1158</v>
      </c>
      <c r="D895" s="7" t="s">
        <v>1159</v>
      </c>
      <c r="E895" s="7" t="s">
        <v>3100</v>
      </c>
      <c r="F895" s="3" t="str">
        <f>IFERROR(__xludf.DUMMYFUNCTION("REGEXREPLACE(E895, ""[^A-Za-z0-9]"", """")"),"AgebyLanguageSpokenatHomeforthePopulation5YearsandOver")</f>
        <v>AgebyLanguageSpokenatHomeforthePopulation5YearsandOver</v>
      </c>
      <c r="G895" s="7"/>
      <c r="H895" s="7" t="s">
        <v>2370</v>
      </c>
      <c r="I895" s="1" t="s">
        <v>3103</v>
      </c>
      <c r="J895" s="7" t="s">
        <v>3104</v>
      </c>
      <c r="K895" s="1"/>
      <c r="L895" s="1" t="s">
        <v>2373</v>
      </c>
      <c r="M895" s="1"/>
      <c r="N895" s="1"/>
      <c r="O895" s="1" t="str">
        <f t="shared" si="1"/>
        <v> = 'B16007_002',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2" t="s">
        <v>10</v>
      </c>
      <c r="B896" s="1"/>
      <c r="C896" s="7" t="s">
        <v>1158</v>
      </c>
      <c r="D896" s="7" t="s">
        <v>1159</v>
      </c>
      <c r="E896" s="7" t="s">
        <v>3100</v>
      </c>
      <c r="F896" s="3" t="str">
        <f>IFERROR(__xludf.DUMMYFUNCTION("REGEXREPLACE(E896, ""[^A-Za-z0-9]"", """")"),"AgebyLanguageSpokenatHomeforthePopulation5YearsandOver")</f>
        <v>AgebyLanguageSpokenatHomeforthePopulation5YearsandOver</v>
      </c>
      <c r="G896" s="7"/>
      <c r="H896" s="7" t="s">
        <v>2374</v>
      </c>
      <c r="I896" s="1" t="s">
        <v>3105</v>
      </c>
      <c r="J896" s="7" t="s">
        <v>3106</v>
      </c>
      <c r="K896" s="1"/>
      <c r="L896" s="1" t="s">
        <v>2377</v>
      </c>
      <c r="M896" s="1"/>
      <c r="N896" s="1"/>
      <c r="O896" s="1" t="str">
        <f t="shared" si="1"/>
        <v> = 'B16007_003',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2" t="s">
        <v>10</v>
      </c>
      <c r="B897" s="1"/>
      <c r="C897" s="7" t="s">
        <v>1158</v>
      </c>
      <c r="D897" s="7" t="s">
        <v>1159</v>
      </c>
      <c r="E897" s="7" t="s">
        <v>3100</v>
      </c>
      <c r="F897" s="3" t="str">
        <f>IFERROR(__xludf.DUMMYFUNCTION("REGEXREPLACE(E897, ""[^A-Za-z0-9]"", """")"),"AgebyLanguageSpokenatHomeforthePopulation5YearsandOver")</f>
        <v>AgebyLanguageSpokenatHomeforthePopulation5YearsandOver</v>
      </c>
      <c r="G897" s="7"/>
      <c r="H897" s="7" t="s">
        <v>2378</v>
      </c>
      <c r="I897" s="1" t="s">
        <v>3107</v>
      </c>
      <c r="J897" s="7" t="s">
        <v>3108</v>
      </c>
      <c r="K897" s="1"/>
      <c r="L897" s="1" t="s">
        <v>2381</v>
      </c>
      <c r="M897" s="1"/>
      <c r="N897" s="1"/>
      <c r="O897" s="1" t="str">
        <f t="shared" si="1"/>
        <v> = 'B16007_004',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2" t="s">
        <v>10</v>
      </c>
      <c r="B898" s="1"/>
      <c r="C898" s="7" t="s">
        <v>1158</v>
      </c>
      <c r="D898" s="7" t="s">
        <v>1159</v>
      </c>
      <c r="E898" s="7" t="s">
        <v>3100</v>
      </c>
      <c r="F898" s="3" t="str">
        <f>IFERROR(__xludf.DUMMYFUNCTION("REGEXREPLACE(E898, ""[^A-Za-z0-9]"", """")"),"AgebyLanguageSpokenatHomeforthePopulation5YearsandOver")</f>
        <v>AgebyLanguageSpokenatHomeforthePopulation5YearsandOver</v>
      </c>
      <c r="G898" s="7"/>
      <c r="H898" s="7" t="s">
        <v>2382</v>
      </c>
      <c r="I898" s="1" t="s">
        <v>3109</v>
      </c>
      <c r="J898" s="7" t="s">
        <v>3110</v>
      </c>
      <c r="K898" s="1"/>
      <c r="L898" s="1" t="s">
        <v>2385</v>
      </c>
      <c r="M898" s="1"/>
      <c r="N898" s="1"/>
      <c r="O898" s="1" t="str">
        <f t="shared" si="1"/>
        <v> = 'B16007_005',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2" t="s">
        <v>10</v>
      </c>
      <c r="B899" s="1"/>
      <c r="C899" s="7" t="s">
        <v>1158</v>
      </c>
      <c r="D899" s="7" t="s">
        <v>1159</v>
      </c>
      <c r="E899" s="7" t="s">
        <v>3100</v>
      </c>
      <c r="F899" s="3" t="str">
        <f>IFERROR(__xludf.DUMMYFUNCTION("REGEXREPLACE(E899, ""[^A-Za-z0-9]"", """")"),"AgebyLanguageSpokenatHomeforthePopulation5YearsandOver")</f>
        <v>AgebyLanguageSpokenatHomeforthePopulation5YearsandOver</v>
      </c>
      <c r="G899" s="7"/>
      <c r="H899" s="7" t="s">
        <v>2386</v>
      </c>
      <c r="I899" s="1" t="s">
        <v>3111</v>
      </c>
      <c r="J899" s="7" t="s">
        <v>3112</v>
      </c>
      <c r="K899" s="1"/>
      <c r="L899" s="1" t="s">
        <v>2389</v>
      </c>
      <c r="M899" s="1"/>
      <c r="N899" s="1"/>
      <c r="O899" s="1" t="str">
        <f t="shared" si="1"/>
        <v> = 'B16007_006',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2" t="s">
        <v>10</v>
      </c>
      <c r="B900" s="1"/>
      <c r="C900" s="7" t="s">
        <v>1158</v>
      </c>
      <c r="D900" s="7" t="s">
        <v>1159</v>
      </c>
      <c r="E900" s="7" t="s">
        <v>3100</v>
      </c>
      <c r="F900" s="3" t="str">
        <f>IFERROR(__xludf.DUMMYFUNCTION("REGEXREPLACE(E900, ""[^A-Za-z0-9]"", """")"),"AgebyLanguageSpokenatHomeforthePopulation5YearsandOver")</f>
        <v>AgebyLanguageSpokenatHomeforthePopulation5YearsandOver</v>
      </c>
      <c r="G900" s="7"/>
      <c r="H900" s="7" t="s">
        <v>2390</v>
      </c>
      <c r="I900" s="1" t="s">
        <v>3113</v>
      </c>
      <c r="J900" s="7" t="s">
        <v>3114</v>
      </c>
      <c r="K900" s="1"/>
      <c r="L900" s="1" t="s">
        <v>2393</v>
      </c>
      <c r="M900" s="1"/>
      <c r="N900" s="1"/>
      <c r="O900" s="1" t="str">
        <f t="shared" si="1"/>
        <v> = 'B16007_007',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2" t="s">
        <v>10</v>
      </c>
      <c r="B901" s="1"/>
      <c r="C901" s="7" t="s">
        <v>1158</v>
      </c>
      <c r="D901" s="7" t="s">
        <v>1159</v>
      </c>
      <c r="E901" s="7" t="s">
        <v>3100</v>
      </c>
      <c r="F901" s="3" t="str">
        <f>IFERROR(__xludf.DUMMYFUNCTION("REGEXREPLACE(E901, ""[^A-Za-z0-9]"", """")"),"AgebyLanguageSpokenatHomeforthePopulation5YearsandOver")</f>
        <v>AgebyLanguageSpokenatHomeforthePopulation5YearsandOver</v>
      </c>
      <c r="G901" s="7"/>
      <c r="H901" s="7" t="s">
        <v>763</v>
      </c>
      <c r="I901" s="1" t="s">
        <v>3115</v>
      </c>
      <c r="J901" s="7" t="s">
        <v>3116</v>
      </c>
      <c r="K901" s="1"/>
      <c r="L901" s="1" t="s">
        <v>766</v>
      </c>
      <c r="M901" s="1"/>
      <c r="N901" s="1"/>
      <c r="O901" s="1" t="str">
        <f t="shared" si="1"/>
        <v> = 'B16007_008',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2" t="s">
        <v>10</v>
      </c>
      <c r="B902" s="1"/>
      <c r="C902" s="7" t="s">
        <v>1158</v>
      </c>
      <c r="D902" s="7" t="s">
        <v>1159</v>
      </c>
      <c r="E902" s="7" t="s">
        <v>3100</v>
      </c>
      <c r="F902" s="3" t="str">
        <f>IFERROR(__xludf.DUMMYFUNCTION("REGEXREPLACE(E902, ""[^A-Za-z0-9]"", """")"),"AgebyLanguageSpokenatHomeforthePopulation5YearsandOver")</f>
        <v>AgebyLanguageSpokenatHomeforthePopulation5YearsandOver</v>
      </c>
      <c r="G902" s="7"/>
      <c r="H902" s="7" t="s">
        <v>2503</v>
      </c>
      <c r="I902" s="1" t="s">
        <v>3117</v>
      </c>
      <c r="J902" s="7" t="s">
        <v>3118</v>
      </c>
      <c r="K902" s="1"/>
      <c r="L902" s="1" t="s">
        <v>2506</v>
      </c>
      <c r="M902" s="1"/>
      <c r="N902" s="1"/>
      <c r="O902" s="1" t="str">
        <f t="shared" si="1"/>
        <v> = 'B16007_009',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2" t="s">
        <v>10</v>
      </c>
      <c r="B903" s="1"/>
      <c r="C903" s="7" t="s">
        <v>1158</v>
      </c>
      <c r="D903" s="7" t="s">
        <v>1159</v>
      </c>
      <c r="E903" s="7" t="s">
        <v>3100</v>
      </c>
      <c r="F903" s="3" t="str">
        <f>IFERROR(__xludf.DUMMYFUNCTION("REGEXREPLACE(E903, ""[^A-Za-z0-9]"", """")"),"AgebyLanguageSpokenatHomeforthePopulation5YearsandOver")</f>
        <v>AgebyLanguageSpokenatHomeforthePopulation5YearsandOver</v>
      </c>
      <c r="G903" s="7"/>
      <c r="H903" s="7" t="s">
        <v>3119</v>
      </c>
      <c r="I903" s="1" t="s">
        <v>3120</v>
      </c>
      <c r="J903" s="7" t="s">
        <v>3121</v>
      </c>
      <c r="K903" s="1"/>
      <c r="L903" s="1" t="s">
        <v>3122</v>
      </c>
      <c r="M903" s="1"/>
      <c r="N903" s="1"/>
      <c r="O903" s="1" t="str">
        <f t="shared" si="1"/>
        <v> = 'B16007_010',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2" t="s">
        <v>10</v>
      </c>
      <c r="B904" s="1"/>
      <c r="C904" s="7" t="s">
        <v>1158</v>
      </c>
      <c r="D904" s="7" t="s">
        <v>1159</v>
      </c>
      <c r="E904" s="7" t="s">
        <v>3100</v>
      </c>
      <c r="F904" s="3" t="str">
        <f>IFERROR(__xludf.DUMMYFUNCTION("REGEXREPLACE(E904, ""[^A-Za-z0-9]"", """")"),"AgebyLanguageSpokenatHomeforthePopulation5YearsandOver")</f>
        <v>AgebyLanguageSpokenatHomeforthePopulation5YearsandOver</v>
      </c>
      <c r="G904" s="7"/>
      <c r="H904" s="7" t="s">
        <v>3123</v>
      </c>
      <c r="I904" s="1" t="s">
        <v>3124</v>
      </c>
      <c r="J904" s="7" t="s">
        <v>3125</v>
      </c>
      <c r="K904" s="1"/>
      <c r="L904" s="1" t="s">
        <v>3126</v>
      </c>
      <c r="M904" s="1"/>
      <c r="N904" s="1"/>
      <c r="O904" s="1" t="str">
        <f t="shared" si="1"/>
        <v> = 'B16007_011',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2" t="s">
        <v>10</v>
      </c>
      <c r="B905" s="1"/>
      <c r="C905" s="7" t="s">
        <v>1158</v>
      </c>
      <c r="D905" s="7" t="s">
        <v>1159</v>
      </c>
      <c r="E905" s="7" t="s">
        <v>3100</v>
      </c>
      <c r="F905" s="3" t="str">
        <f>IFERROR(__xludf.DUMMYFUNCTION("REGEXREPLACE(E905, ""[^A-Za-z0-9]"", """")"),"AgebyLanguageSpokenatHomeforthePopulation5YearsandOver")</f>
        <v>AgebyLanguageSpokenatHomeforthePopulation5YearsandOver</v>
      </c>
      <c r="G905" s="7"/>
      <c r="H905" s="7" t="s">
        <v>3127</v>
      </c>
      <c r="I905" s="1" t="s">
        <v>3128</v>
      </c>
      <c r="J905" s="7" t="s">
        <v>3129</v>
      </c>
      <c r="K905" s="1"/>
      <c r="L905" s="1" t="s">
        <v>3130</v>
      </c>
      <c r="M905" s="1"/>
      <c r="N905" s="1"/>
      <c r="O905" s="1" t="str">
        <f t="shared" si="1"/>
        <v> = 'B16007_012',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2" t="s">
        <v>10</v>
      </c>
      <c r="B906" s="1"/>
      <c r="C906" s="7" t="s">
        <v>1158</v>
      </c>
      <c r="D906" s="7" t="s">
        <v>1159</v>
      </c>
      <c r="E906" s="7" t="s">
        <v>3100</v>
      </c>
      <c r="F906" s="3" t="str">
        <f>IFERROR(__xludf.DUMMYFUNCTION("REGEXREPLACE(E906, ""[^A-Za-z0-9]"", """")"),"AgebyLanguageSpokenatHomeforthePopulation5YearsandOver")</f>
        <v>AgebyLanguageSpokenatHomeforthePopulation5YearsandOver</v>
      </c>
      <c r="G906" s="7"/>
      <c r="H906" s="7" t="s">
        <v>3131</v>
      </c>
      <c r="I906" s="1" t="s">
        <v>3132</v>
      </c>
      <c r="J906" s="7" t="s">
        <v>3133</v>
      </c>
      <c r="K906" s="1"/>
      <c r="L906" s="1" t="s">
        <v>3134</v>
      </c>
      <c r="M906" s="1"/>
      <c r="N906" s="1"/>
      <c r="O906" s="1" t="str">
        <f t="shared" si="1"/>
        <v> = 'B16007_013',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2" t="s">
        <v>10</v>
      </c>
      <c r="B907" s="1"/>
      <c r="C907" s="7" t="s">
        <v>1158</v>
      </c>
      <c r="D907" s="7" t="s">
        <v>1159</v>
      </c>
      <c r="E907" s="7" t="s">
        <v>3100</v>
      </c>
      <c r="F907" s="3" t="str">
        <f>IFERROR(__xludf.DUMMYFUNCTION("REGEXREPLACE(E907, ""[^A-Za-z0-9]"", """")"),"AgebyLanguageSpokenatHomeforthePopulation5YearsandOver")</f>
        <v>AgebyLanguageSpokenatHomeforthePopulation5YearsandOver</v>
      </c>
      <c r="G907" s="7"/>
      <c r="H907" s="7" t="s">
        <v>787</v>
      </c>
      <c r="I907" s="1" t="s">
        <v>3135</v>
      </c>
      <c r="J907" s="7" t="s">
        <v>3136</v>
      </c>
      <c r="K907" s="1"/>
      <c r="L907" s="1" t="s">
        <v>790</v>
      </c>
      <c r="M907" s="1"/>
      <c r="N907" s="1"/>
      <c r="O907" s="1" t="str">
        <f t="shared" si="1"/>
        <v> = 'B16007_014',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2" t="s">
        <v>10</v>
      </c>
      <c r="B908" s="1"/>
      <c r="C908" s="7" t="s">
        <v>1158</v>
      </c>
      <c r="D908" s="7" t="s">
        <v>1159</v>
      </c>
      <c r="E908" s="7" t="s">
        <v>3100</v>
      </c>
      <c r="F908" s="3" t="str">
        <f>IFERROR(__xludf.DUMMYFUNCTION("REGEXREPLACE(E908, ""[^A-Za-z0-9]"", """")"),"AgebyLanguageSpokenatHomeforthePopulation5YearsandOver")</f>
        <v>AgebyLanguageSpokenatHomeforthePopulation5YearsandOver</v>
      </c>
      <c r="G908" s="7"/>
      <c r="H908" s="7" t="s">
        <v>2589</v>
      </c>
      <c r="I908" s="1" t="s">
        <v>3137</v>
      </c>
      <c r="J908" s="7" t="s">
        <v>3138</v>
      </c>
      <c r="K908" s="1"/>
      <c r="L908" s="1" t="s">
        <v>2592</v>
      </c>
      <c r="M908" s="1"/>
      <c r="N908" s="1"/>
      <c r="O908" s="1" t="str">
        <f t="shared" si="1"/>
        <v> = 'B16007_015',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2" t="s">
        <v>10</v>
      </c>
      <c r="B909" s="1"/>
      <c r="C909" s="7" t="s">
        <v>1158</v>
      </c>
      <c r="D909" s="7" t="s">
        <v>1159</v>
      </c>
      <c r="E909" s="7" t="s">
        <v>3100</v>
      </c>
      <c r="F909" s="3" t="str">
        <f>IFERROR(__xludf.DUMMYFUNCTION("REGEXREPLACE(E909, ""[^A-Za-z0-9]"", """")"),"AgebyLanguageSpokenatHomeforthePopulation5YearsandOver")</f>
        <v>AgebyLanguageSpokenatHomeforthePopulation5YearsandOver</v>
      </c>
      <c r="G909" s="7"/>
      <c r="H909" s="7" t="s">
        <v>3139</v>
      </c>
      <c r="I909" s="1" t="s">
        <v>3140</v>
      </c>
      <c r="J909" s="7" t="s">
        <v>3141</v>
      </c>
      <c r="K909" s="1"/>
      <c r="L909" s="1" t="s">
        <v>3142</v>
      </c>
      <c r="M909" s="1"/>
      <c r="N909" s="1"/>
      <c r="O909" s="1" t="str">
        <f t="shared" si="1"/>
        <v> = 'B16007_016',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2" t="s">
        <v>10</v>
      </c>
      <c r="B910" s="1"/>
      <c r="C910" s="7" t="s">
        <v>1158</v>
      </c>
      <c r="D910" s="7" t="s">
        <v>1159</v>
      </c>
      <c r="E910" s="7" t="s">
        <v>3100</v>
      </c>
      <c r="F910" s="3" t="str">
        <f>IFERROR(__xludf.DUMMYFUNCTION("REGEXREPLACE(E910, ""[^A-Za-z0-9]"", """")"),"AgebyLanguageSpokenatHomeforthePopulation5YearsandOver")</f>
        <v>AgebyLanguageSpokenatHomeforthePopulation5YearsandOver</v>
      </c>
      <c r="G910" s="7"/>
      <c r="H910" s="7" t="s">
        <v>3143</v>
      </c>
      <c r="I910" s="1" t="s">
        <v>3144</v>
      </c>
      <c r="J910" s="7" t="s">
        <v>3145</v>
      </c>
      <c r="K910" s="1"/>
      <c r="L910" s="1" t="s">
        <v>3146</v>
      </c>
      <c r="M910" s="1"/>
      <c r="N910" s="1"/>
      <c r="O910" s="1" t="str">
        <f t="shared" si="1"/>
        <v> = 'B16007_017',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2" t="s">
        <v>10</v>
      </c>
      <c r="B911" s="1"/>
      <c r="C911" s="7" t="s">
        <v>1158</v>
      </c>
      <c r="D911" s="7" t="s">
        <v>1159</v>
      </c>
      <c r="E911" s="7" t="s">
        <v>3100</v>
      </c>
      <c r="F911" s="3" t="str">
        <f>IFERROR(__xludf.DUMMYFUNCTION("REGEXREPLACE(E911, ""[^A-Za-z0-9]"", """")"),"AgebyLanguageSpokenatHomeforthePopulation5YearsandOver")</f>
        <v>AgebyLanguageSpokenatHomeforthePopulation5YearsandOver</v>
      </c>
      <c r="G911" s="7"/>
      <c r="H911" s="7" t="s">
        <v>3147</v>
      </c>
      <c r="I911" s="1" t="s">
        <v>3148</v>
      </c>
      <c r="J911" s="7" t="s">
        <v>3149</v>
      </c>
      <c r="K911" s="1"/>
      <c r="L911" s="1" t="s">
        <v>3150</v>
      </c>
      <c r="M911" s="1"/>
      <c r="N911" s="1"/>
      <c r="O911" s="1" t="str">
        <f t="shared" si="1"/>
        <v> = 'B16007_018',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2" t="s">
        <v>10</v>
      </c>
      <c r="B912" s="1"/>
      <c r="C912" s="7" t="s">
        <v>1158</v>
      </c>
      <c r="D912" s="7" t="s">
        <v>1159</v>
      </c>
      <c r="E912" s="7" t="s">
        <v>3100</v>
      </c>
      <c r="F912" s="3" t="str">
        <f>IFERROR(__xludf.DUMMYFUNCTION("REGEXREPLACE(E912, ""[^A-Za-z0-9]"", """")"),"AgebyLanguageSpokenatHomeforthePopulation5YearsandOver")</f>
        <v>AgebyLanguageSpokenatHomeforthePopulation5YearsandOver</v>
      </c>
      <c r="G912" s="7"/>
      <c r="H912" s="7" t="s">
        <v>3151</v>
      </c>
      <c r="I912" s="1" t="s">
        <v>3152</v>
      </c>
      <c r="J912" s="7" t="s">
        <v>3153</v>
      </c>
      <c r="K912" s="1"/>
      <c r="L912" s="1" t="s">
        <v>3154</v>
      </c>
      <c r="M912" s="1"/>
      <c r="N912" s="1"/>
      <c r="O912" s="1" t="str">
        <f t="shared" si="1"/>
        <v> = 'B16007_019',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2" t="s">
        <v>10</v>
      </c>
      <c r="B913" s="1"/>
      <c r="C913" s="7" t="s">
        <v>1158</v>
      </c>
      <c r="D913" s="7" t="s">
        <v>1159</v>
      </c>
      <c r="E913" s="7" t="s">
        <v>3155</v>
      </c>
      <c r="F913" s="3" t="str">
        <f>IFERROR(__xludf.DUMMYFUNCTION("REGEXREPLACE(E913, ""[^A-Za-z0-9]"", """")"),"CitizenshipStatusbyAgebyLanguageSpokenatHomeandAbilitytoSpeakEnglishforthePopulation5YearsandOver")</f>
        <v>CitizenshipStatusbyAgebyLanguageSpokenatHomeandAbilitytoSpeakEnglishforthePopulation5YearsandOver</v>
      </c>
      <c r="G913" s="7"/>
      <c r="H913" s="7" t="s">
        <v>16</v>
      </c>
      <c r="I913" s="1" t="s">
        <v>3156</v>
      </c>
      <c r="J913" s="7" t="s">
        <v>3157</v>
      </c>
      <c r="K913" s="1"/>
      <c r="L913" s="1" t="s">
        <v>20</v>
      </c>
      <c r="M913" s="1"/>
      <c r="N913" s="1"/>
      <c r="O913" s="1" t="str">
        <f t="shared" si="1"/>
        <v> = 'B16008_001',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2" t="s">
        <v>10</v>
      </c>
      <c r="B914" s="1"/>
      <c r="C914" s="7" t="s">
        <v>1158</v>
      </c>
      <c r="D914" s="7" t="s">
        <v>1159</v>
      </c>
      <c r="E914" s="7" t="s">
        <v>3155</v>
      </c>
      <c r="F914" s="3" t="str">
        <f>IFERROR(__xludf.DUMMYFUNCTION("REGEXREPLACE(E914, ""[^A-Za-z0-9]"", """")"),"CitizenshipStatusbyAgebyLanguageSpokenatHomeandAbilitytoSpeakEnglishforthePopulation5YearsandOver")</f>
        <v>CitizenshipStatusbyAgebyLanguageSpokenatHomeandAbilitytoSpeakEnglishforthePopulation5YearsandOver</v>
      </c>
      <c r="G914" s="7"/>
      <c r="H914" s="7" t="s">
        <v>3158</v>
      </c>
      <c r="I914" s="1" t="s">
        <v>3159</v>
      </c>
      <c r="J914" s="7" t="s">
        <v>3160</v>
      </c>
      <c r="K914" s="1"/>
      <c r="L914" s="1" t="s">
        <v>3161</v>
      </c>
      <c r="M914" s="1"/>
      <c r="N914" s="1"/>
      <c r="O914" s="1" t="str">
        <f t="shared" si="1"/>
        <v> = 'B16008_002',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2" t="s">
        <v>10</v>
      </c>
      <c r="B915" s="1"/>
      <c r="C915" s="7" t="s">
        <v>1158</v>
      </c>
      <c r="D915" s="7" t="s">
        <v>1159</v>
      </c>
      <c r="E915" s="7" t="s">
        <v>3155</v>
      </c>
      <c r="F915" s="3" t="str">
        <f>IFERROR(__xludf.DUMMYFUNCTION("REGEXREPLACE(E915, ""[^A-Za-z0-9]"", """")"),"CitizenshipStatusbyAgebyLanguageSpokenatHomeandAbilitytoSpeakEnglishforthePopulation5YearsandOver")</f>
        <v>CitizenshipStatusbyAgebyLanguageSpokenatHomeandAbilitytoSpeakEnglishforthePopulation5YearsandOver</v>
      </c>
      <c r="G915" s="7"/>
      <c r="H915" s="7" t="s">
        <v>3162</v>
      </c>
      <c r="I915" s="1" t="s">
        <v>3163</v>
      </c>
      <c r="J915" s="7" t="s">
        <v>3164</v>
      </c>
      <c r="K915" s="1"/>
      <c r="L915" s="1" t="s">
        <v>3165</v>
      </c>
      <c r="M915" s="1"/>
      <c r="N915" s="1"/>
      <c r="O915" s="1" t="str">
        <f t="shared" si="1"/>
        <v> = 'B16008_003',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2" t="s">
        <v>10</v>
      </c>
      <c r="B916" s="1"/>
      <c r="C916" s="7" t="s">
        <v>1158</v>
      </c>
      <c r="D916" s="7" t="s">
        <v>1159</v>
      </c>
      <c r="E916" s="7" t="s">
        <v>3155</v>
      </c>
      <c r="F916" s="3" t="str">
        <f>IFERROR(__xludf.DUMMYFUNCTION("REGEXREPLACE(E916, ""[^A-Za-z0-9]"", """")"),"CitizenshipStatusbyAgebyLanguageSpokenatHomeandAbilitytoSpeakEnglishforthePopulation5YearsandOver")</f>
        <v>CitizenshipStatusbyAgebyLanguageSpokenatHomeandAbilitytoSpeakEnglishforthePopulation5YearsandOver</v>
      </c>
      <c r="G916" s="7"/>
      <c r="H916" s="7" t="s">
        <v>3166</v>
      </c>
      <c r="I916" s="1" t="s">
        <v>3167</v>
      </c>
      <c r="J916" s="7" t="s">
        <v>3168</v>
      </c>
      <c r="K916" s="1"/>
      <c r="L916" s="1" t="s">
        <v>3169</v>
      </c>
      <c r="M916" s="1"/>
      <c r="N916" s="1"/>
      <c r="O916" s="1" t="str">
        <f t="shared" si="1"/>
        <v> = 'B16008_004',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2" t="s">
        <v>10</v>
      </c>
      <c r="B917" s="1"/>
      <c r="C917" s="7" t="s">
        <v>1158</v>
      </c>
      <c r="D917" s="7" t="s">
        <v>1159</v>
      </c>
      <c r="E917" s="7" t="s">
        <v>3155</v>
      </c>
      <c r="F917" s="3" t="str">
        <f>IFERROR(__xludf.DUMMYFUNCTION("REGEXREPLACE(E917, ""[^A-Za-z0-9]"", """")"),"CitizenshipStatusbyAgebyLanguageSpokenatHomeandAbilitytoSpeakEnglishforthePopulation5YearsandOver")</f>
        <v>CitizenshipStatusbyAgebyLanguageSpokenatHomeandAbilitytoSpeakEnglishforthePopulation5YearsandOver</v>
      </c>
      <c r="G917" s="7"/>
      <c r="H917" s="7" t="s">
        <v>3170</v>
      </c>
      <c r="I917" s="1" t="s">
        <v>3171</v>
      </c>
      <c r="J917" s="7" t="s">
        <v>3172</v>
      </c>
      <c r="K917" s="1"/>
      <c r="L917" s="1" t="s">
        <v>3173</v>
      </c>
      <c r="M917" s="1"/>
      <c r="N917" s="1"/>
      <c r="O917" s="1" t="str">
        <f t="shared" si="1"/>
        <v> = 'B16008_005',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2" t="s">
        <v>10</v>
      </c>
      <c r="B918" s="1"/>
      <c r="C918" s="7" t="s">
        <v>1158</v>
      </c>
      <c r="D918" s="7" t="s">
        <v>1159</v>
      </c>
      <c r="E918" s="7" t="s">
        <v>3155</v>
      </c>
      <c r="F918" s="3" t="str">
        <f>IFERROR(__xludf.DUMMYFUNCTION("REGEXREPLACE(E918, ""[^A-Za-z0-9]"", """")"),"CitizenshipStatusbyAgebyLanguageSpokenatHomeandAbilitytoSpeakEnglishforthePopulation5YearsandOver")</f>
        <v>CitizenshipStatusbyAgebyLanguageSpokenatHomeandAbilitytoSpeakEnglishforthePopulation5YearsandOver</v>
      </c>
      <c r="G918" s="7"/>
      <c r="H918" s="7" t="s">
        <v>3174</v>
      </c>
      <c r="I918" s="1" t="s">
        <v>3175</v>
      </c>
      <c r="J918" s="7" t="s">
        <v>3176</v>
      </c>
      <c r="K918" s="1"/>
      <c r="L918" s="1" t="s">
        <v>3177</v>
      </c>
      <c r="M918" s="1"/>
      <c r="N918" s="1"/>
      <c r="O918" s="1" t="str">
        <f t="shared" si="1"/>
        <v> = 'B16008_006',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2" t="s">
        <v>10</v>
      </c>
      <c r="B919" s="1"/>
      <c r="C919" s="7" t="s">
        <v>1158</v>
      </c>
      <c r="D919" s="7" t="s">
        <v>1159</v>
      </c>
      <c r="E919" s="7" t="s">
        <v>3155</v>
      </c>
      <c r="F919" s="3" t="str">
        <f>IFERROR(__xludf.DUMMYFUNCTION("REGEXREPLACE(E919, ""[^A-Za-z0-9]"", """")"),"CitizenshipStatusbyAgebyLanguageSpokenatHomeandAbilitytoSpeakEnglishforthePopulation5YearsandOver")</f>
        <v>CitizenshipStatusbyAgebyLanguageSpokenatHomeandAbilitytoSpeakEnglishforthePopulation5YearsandOver</v>
      </c>
      <c r="G919" s="7"/>
      <c r="H919" s="7" t="s">
        <v>3178</v>
      </c>
      <c r="I919" s="1" t="s">
        <v>3179</v>
      </c>
      <c r="J919" s="7" t="s">
        <v>3180</v>
      </c>
      <c r="K919" s="1"/>
      <c r="L919" s="1" t="s">
        <v>3181</v>
      </c>
      <c r="M919" s="1"/>
      <c r="N919" s="1"/>
      <c r="O919" s="1" t="str">
        <f t="shared" si="1"/>
        <v> = 'B16008_007',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2" t="s">
        <v>10</v>
      </c>
      <c r="B920" s="1"/>
      <c r="C920" s="7" t="s">
        <v>1158</v>
      </c>
      <c r="D920" s="7" t="s">
        <v>1159</v>
      </c>
      <c r="E920" s="7" t="s">
        <v>3155</v>
      </c>
      <c r="F920" s="3" t="str">
        <f>IFERROR(__xludf.DUMMYFUNCTION("REGEXREPLACE(E920, ""[^A-Za-z0-9]"", """")"),"CitizenshipStatusbyAgebyLanguageSpokenatHomeandAbilitytoSpeakEnglishforthePopulation5YearsandOver")</f>
        <v>CitizenshipStatusbyAgebyLanguageSpokenatHomeandAbilitytoSpeakEnglishforthePopulation5YearsandOver</v>
      </c>
      <c r="G920" s="7"/>
      <c r="H920" s="7" t="s">
        <v>3182</v>
      </c>
      <c r="I920" s="1" t="s">
        <v>3183</v>
      </c>
      <c r="J920" s="7" t="s">
        <v>3184</v>
      </c>
      <c r="K920" s="1"/>
      <c r="L920" s="1" t="s">
        <v>3185</v>
      </c>
      <c r="M920" s="1"/>
      <c r="N920" s="1"/>
      <c r="O920" s="1" t="str">
        <f t="shared" si="1"/>
        <v> = 'B16008_008',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2" t="s">
        <v>10</v>
      </c>
      <c r="B921" s="1"/>
      <c r="C921" s="7" t="s">
        <v>1158</v>
      </c>
      <c r="D921" s="7" t="s">
        <v>1159</v>
      </c>
      <c r="E921" s="7" t="s">
        <v>3155</v>
      </c>
      <c r="F921" s="3" t="str">
        <f>IFERROR(__xludf.DUMMYFUNCTION("REGEXREPLACE(E921, ""[^A-Za-z0-9]"", """")"),"CitizenshipStatusbyAgebyLanguageSpokenatHomeandAbilitytoSpeakEnglishforthePopulation5YearsandOver")</f>
        <v>CitizenshipStatusbyAgebyLanguageSpokenatHomeandAbilitytoSpeakEnglishforthePopulation5YearsandOver</v>
      </c>
      <c r="G921" s="7"/>
      <c r="H921" s="7" t="s">
        <v>3186</v>
      </c>
      <c r="I921" s="1" t="s">
        <v>3187</v>
      </c>
      <c r="J921" s="7" t="s">
        <v>3188</v>
      </c>
      <c r="K921" s="1"/>
      <c r="L921" s="1" t="s">
        <v>3189</v>
      </c>
      <c r="M921" s="1"/>
      <c r="N921" s="1"/>
      <c r="O921" s="1" t="str">
        <f t="shared" si="1"/>
        <v> = 'B16008_009',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2" t="s">
        <v>10</v>
      </c>
      <c r="B922" s="1"/>
      <c r="C922" s="7" t="s">
        <v>1158</v>
      </c>
      <c r="D922" s="7" t="s">
        <v>1159</v>
      </c>
      <c r="E922" s="7" t="s">
        <v>3155</v>
      </c>
      <c r="F922" s="3" t="str">
        <f>IFERROR(__xludf.DUMMYFUNCTION("REGEXREPLACE(E922, ""[^A-Za-z0-9]"", """")"),"CitizenshipStatusbyAgebyLanguageSpokenatHomeandAbilitytoSpeakEnglishforthePopulation5YearsandOver")</f>
        <v>CitizenshipStatusbyAgebyLanguageSpokenatHomeandAbilitytoSpeakEnglishforthePopulation5YearsandOver</v>
      </c>
      <c r="G922" s="7"/>
      <c r="H922" s="7" t="s">
        <v>3190</v>
      </c>
      <c r="I922" s="1" t="s">
        <v>3191</v>
      </c>
      <c r="J922" s="7" t="s">
        <v>3192</v>
      </c>
      <c r="K922" s="1"/>
      <c r="L922" s="1" t="s">
        <v>3193</v>
      </c>
      <c r="M922" s="1"/>
      <c r="N922" s="1"/>
      <c r="O922" s="1" t="str">
        <f t="shared" si="1"/>
        <v> = 'B16008_010',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2" t="s">
        <v>10</v>
      </c>
      <c r="B923" s="1"/>
      <c r="C923" s="7" t="s">
        <v>1158</v>
      </c>
      <c r="D923" s="7" t="s">
        <v>1159</v>
      </c>
      <c r="E923" s="7" t="s">
        <v>3155</v>
      </c>
      <c r="F923" s="3" t="str">
        <f>IFERROR(__xludf.DUMMYFUNCTION("REGEXREPLACE(E923, ""[^A-Za-z0-9]"", """")"),"CitizenshipStatusbyAgebyLanguageSpokenatHomeandAbilitytoSpeakEnglishforthePopulation5YearsandOver")</f>
        <v>CitizenshipStatusbyAgebyLanguageSpokenatHomeandAbilitytoSpeakEnglishforthePopulation5YearsandOver</v>
      </c>
      <c r="G923" s="7"/>
      <c r="H923" s="7" t="s">
        <v>3194</v>
      </c>
      <c r="I923" s="1" t="s">
        <v>3195</v>
      </c>
      <c r="J923" s="7" t="s">
        <v>3196</v>
      </c>
      <c r="K923" s="1"/>
      <c r="L923" s="1" t="s">
        <v>3197</v>
      </c>
      <c r="M923" s="1"/>
      <c r="N923" s="1"/>
      <c r="O923" s="1" t="str">
        <f t="shared" si="1"/>
        <v> = 'B16008_011',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2" t="s">
        <v>10</v>
      </c>
      <c r="B924" s="1"/>
      <c r="C924" s="7" t="s">
        <v>1158</v>
      </c>
      <c r="D924" s="7" t="s">
        <v>1159</v>
      </c>
      <c r="E924" s="7" t="s">
        <v>3155</v>
      </c>
      <c r="F924" s="3" t="str">
        <f>IFERROR(__xludf.DUMMYFUNCTION("REGEXREPLACE(E924, ""[^A-Za-z0-9]"", """")"),"CitizenshipStatusbyAgebyLanguageSpokenatHomeandAbilitytoSpeakEnglishforthePopulation5YearsandOver")</f>
        <v>CitizenshipStatusbyAgebyLanguageSpokenatHomeandAbilitytoSpeakEnglishforthePopulation5YearsandOver</v>
      </c>
      <c r="G924" s="7"/>
      <c r="H924" s="7" t="s">
        <v>3198</v>
      </c>
      <c r="I924" s="1" t="s">
        <v>3199</v>
      </c>
      <c r="J924" s="7" t="s">
        <v>3200</v>
      </c>
      <c r="K924" s="1"/>
      <c r="L924" s="1" t="s">
        <v>3201</v>
      </c>
      <c r="M924" s="1"/>
      <c r="N924" s="1"/>
      <c r="O924" s="1" t="str">
        <f t="shared" si="1"/>
        <v> = 'B16008_012',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2" t="s">
        <v>10</v>
      </c>
      <c r="B925" s="1"/>
      <c r="C925" s="7" t="s">
        <v>1158</v>
      </c>
      <c r="D925" s="7" t="s">
        <v>1159</v>
      </c>
      <c r="E925" s="7" t="s">
        <v>3155</v>
      </c>
      <c r="F925" s="3" t="str">
        <f>IFERROR(__xludf.DUMMYFUNCTION("REGEXREPLACE(E925, ""[^A-Za-z0-9]"", """")"),"CitizenshipStatusbyAgebyLanguageSpokenatHomeandAbilitytoSpeakEnglishforthePopulation5YearsandOver")</f>
        <v>CitizenshipStatusbyAgebyLanguageSpokenatHomeandAbilitytoSpeakEnglishforthePopulation5YearsandOver</v>
      </c>
      <c r="G925" s="7"/>
      <c r="H925" s="7" t="s">
        <v>3202</v>
      </c>
      <c r="I925" s="1" t="s">
        <v>3203</v>
      </c>
      <c r="J925" s="7" t="s">
        <v>3204</v>
      </c>
      <c r="K925" s="1"/>
      <c r="L925" s="1" t="s">
        <v>3205</v>
      </c>
      <c r="M925" s="1"/>
      <c r="N925" s="1"/>
      <c r="O925" s="1" t="str">
        <f t="shared" si="1"/>
        <v> = 'B16008_013',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2" t="s">
        <v>10</v>
      </c>
      <c r="B926" s="1"/>
      <c r="C926" s="7" t="s">
        <v>1158</v>
      </c>
      <c r="D926" s="7" t="s">
        <v>1159</v>
      </c>
      <c r="E926" s="7" t="s">
        <v>3155</v>
      </c>
      <c r="F926" s="3" t="str">
        <f>IFERROR(__xludf.DUMMYFUNCTION("REGEXREPLACE(E926, ""[^A-Za-z0-9]"", """")"),"CitizenshipStatusbyAgebyLanguageSpokenatHomeandAbilitytoSpeakEnglishforthePopulation5YearsandOver")</f>
        <v>CitizenshipStatusbyAgebyLanguageSpokenatHomeandAbilitytoSpeakEnglishforthePopulation5YearsandOver</v>
      </c>
      <c r="G926" s="7"/>
      <c r="H926" s="7" t="s">
        <v>3206</v>
      </c>
      <c r="I926" s="1" t="s">
        <v>3207</v>
      </c>
      <c r="J926" s="7" t="s">
        <v>3208</v>
      </c>
      <c r="K926" s="1"/>
      <c r="L926" s="1" t="s">
        <v>3209</v>
      </c>
      <c r="M926" s="1"/>
      <c r="N926" s="1"/>
      <c r="O926" s="1" t="str">
        <f t="shared" si="1"/>
        <v> = 'B16008_014',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2" t="s">
        <v>10</v>
      </c>
      <c r="B927" s="1"/>
      <c r="C927" s="7" t="s">
        <v>1158</v>
      </c>
      <c r="D927" s="7" t="s">
        <v>1159</v>
      </c>
      <c r="E927" s="7" t="s">
        <v>3155</v>
      </c>
      <c r="F927" s="3" t="str">
        <f>IFERROR(__xludf.DUMMYFUNCTION("REGEXREPLACE(E927, ""[^A-Za-z0-9]"", """")"),"CitizenshipStatusbyAgebyLanguageSpokenatHomeandAbilitytoSpeakEnglishforthePopulation5YearsandOver")</f>
        <v>CitizenshipStatusbyAgebyLanguageSpokenatHomeandAbilitytoSpeakEnglishforthePopulation5YearsandOver</v>
      </c>
      <c r="G927" s="7"/>
      <c r="H927" s="7" t="s">
        <v>3210</v>
      </c>
      <c r="I927" s="1" t="s">
        <v>3211</v>
      </c>
      <c r="J927" s="7" t="s">
        <v>3212</v>
      </c>
      <c r="K927" s="1"/>
      <c r="L927" s="1" t="s">
        <v>3213</v>
      </c>
      <c r="M927" s="1"/>
      <c r="N927" s="1"/>
      <c r="O927" s="1" t="str">
        <f t="shared" si="1"/>
        <v> = 'B16008_015',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2" t="s">
        <v>10</v>
      </c>
      <c r="B928" s="1"/>
      <c r="C928" s="7" t="s">
        <v>1158</v>
      </c>
      <c r="D928" s="7" t="s">
        <v>1159</v>
      </c>
      <c r="E928" s="7" t="s">
        <v>3155</v>
      </c>
      <c r="F928" s="3" t="str">
        <f>IFERROR(__xludf.DUMMYFUNCTION("REGEXREPLACE(E928, ""[^A-Za-z0-9]"", """")"),"CitizenshipStatusbyAgebyLanguageSpokenatHomeandAbilitytoSpeakEnglishforthePopulation5YearsandOver")</f>
        <v>CitizenshipStatusbyAgebyLanguageSpokenatHomeandAbilitytoSpeakEnglishforthePopulation5YearsandOver</v>
      </c>
      <c r="G928" s="7"/>
      <c r="H928" s="7" t="s">
        <v>3214</v>
      </c>
      <c r="I928" s="1" t="s">
        <v>3215</v>
      </c>
      <c r="J928" s="7" t="s">
        <v>3216</v>
      </c>
      <c r="K928" s="1"/>
      <c r="L928" s="1" t="s">
        <v>3217</v>
      </c>
      <c r="M928" s="1"/>
      <c r="N928" s="1"/>
      <c r="O928" s="1" t="str">
        <f t="shared" si="1"/>
        <v> = 'B16008_016',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2" t="s">
        <v>10</v>
      </c>
      <c r="B929" s="1"/>
      <c r="C929" s="7" t="s">
        <v>1158</v>
      </c>
      <c r="D929" s="7" t="s">
        <v>1159</v>
      </c>
      <c r="E929" s="7" t="s">
        <v>3155</v>
      </c>
      <c r="F929" s="3" t="str">
        <f>IFERROR(__xludf.DUMMYFUNCTION("REGEXREPLACE(E929, ""[^A-Za-z0-9]"", """")"),"CitizenshipStatusbyAgebyLanguageSpokenatHomeandAbilitytoSpeakEnglishforthePopulation5YearsandOver")</f>
        <v>CitizenshipStatusbyAgebyLanguageSpokenatHomeandAbilitytoSpeakEnglishforthePopulation5YearsandOver</v>
      </c>
      <c r="G929" s="7"/>
      <c r="H929" s="7" t="s">
        <v>3218</v>
      </c>
      <c r="I929" s="1" t="s">
        <v>3219</v>
      </c>
      <c r="J929" s="7" t="s">
        <v>3220</v>
      </c>
      <c r="K929" s="1"/>
      <c r="L929" s="1" t="s">
        <v>3221</v>
      </c>
      <c r="M929" s="1"/>
      <c r="N929" s="1"/>
      <c r="O929" s="1" t="str">
        <f t="shared" si="1"/>
        <v> = 'B16008_017',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2" t="s">
        <v>10</v>
      </c>
      <c r="B930" s="1"/>
      <c r="C930" s="7" t="s">
        <v>1158</v>
      </c>
      <c r="D930" s="7" t="s">
        <v>1159</v>
      </c>
      <c r="E930" s="7" t="s">
        <v>3155</v>
      </c>
      <c r="F930" s="3" t="str">
        <f>IFERROR(__xludf.DUMMYFUNCTION("REGEXREPLACE(E930, ""[^A-Za-z0-9]"", """")"),"CitizenshipStatusbyAgebyLanguageSpokenatHomeandAbilitytoSpeakEnglishforthePopulation5YearsandOver")</f>
        <v>CitizenshipStatusbyAgebyLanguageSpokenatHomeandAbilitytoSpeakEnglishforthePopulation5YearsandOver</v>
      </c>
      <c r="G930" s="7"/>
      <c r="H930" s="7" t="s">
        <v>3222</v>
      </c>
      <c r="I930" s="1" t="s">
        <v>3223</v>
      </c>
      <c r="J930" s="7" t="s">
        <v>3224</v>
      </c>
      <c r="K930" s="1"/>
      <c r="L930" s="1" t="s">
        <v>3225</v>
      </c>
      <c r="M930" s="1"/>
      <c r="N930" s="1"/>
      <c r="O930" s="1" t="str">
        <f t="shared" si="1"/>
        <v> = 'B16008_018',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2" t="s">
        <v>10</v>
      </c>
      <c r="B931" s="1"/>
      <c r="C931" s="7" t="s">
        <v>1158</v>
      </c>
      <c r="D931" s="7" t="s">
        <v>1159</v>
      </c>
      <c r="E931" s="7" t="s">
        <v>3155</v>
      </c>
      <c r="F931" s="3" t="str">
        <f>IFERROR(__xludf.DUMMYFUNCTION("REGEXREPLACE(E931, ""[^A-Za-z0-9]"", """")"),"CitizenshipStatusbyAgebyLanguageSpokenatHomeandAbilitytoSpeakEnglishforthePopulation5YearsandOver")</f>
        <v>CitizenshipStatusbyAgebyLanguageSpokenatHomeandAbilitytoSpeakEnglishforthePopulation5YearsandOver</v>
      </c>
      <c r="G931" s="7"/>
      <c r="H931" s="7" t="s">
        <v>3226</v>
      </c>
      <c r="I931" s="1" t="s">
        <v>3227</v>
      </c>
      <c r="J931" s="7" t="s">
        <v>3228</v>
      </c>
      <c r="K931" s="1"/>
      <c r="L931" s="1" t="s">
        <v>3229</v>
      </c>
      <c r="M931" s="1"/>
      <c r="N931" s="1"/>
      <c r="O931" s="1" t="str">
        <f t="shared" si="1"/>
        <v> = 'B16008_019',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2" t="s">
        <v>10</v>
      </c>
      <c r="B932" s="1"/>
      <c r="C932" s="7" t="s">
        <v>1158</v>
      </c>
      <c r="D932" s="7" t="s">
        <v>1159</v>
      </c>
      <c r="E932" s="7" t="s">
        <v>3155</v>
      </c>
      <c r="F932" s="3" t="str">
        <f>IFERROR(__xludf.DUMMYFUNCTION("REGEXREPLACE(E932, ""[^A-Za-z0-9]"", """")"),"CitizenshipStatusbyAgebyLanguageSpokenatHomeandAbilitytoSpeakEnglishforthePopulation5YearsandOver")</f>
        <v>CitizenshipStatusbyAgebyLanguageSpokenatHomeandAbilitytoSpeakEnglishforthePopulation5YearsandOver</v>
      </c>
      <c r="G932" s="7"/>
      <c r="H932" s="7" t="s">
        <v>3230</v>
      </c>
      <c r="I932" s="1" t="s">
        <v>3231</v>
      </c>
      <c r="J932" s="7" t="s">
        <v>3232</v>
      </c>
      <c r="K932" s="1"/>
      <c r="L932" s="1" t="s">
        <v>3233</v>
      </c>
      <c r="M932" s="1"/>
      <c r="N932" s="1"/>
      <c r="O932" s="1" t="str">
        <f t="shared" si="1"/>
        <v> = 'B16008_020',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2" t="s">
        <v>10</v>
      </c>
      <c r="B933" s="1"/>
      <c r="C933" s="7" t="s">
        <v>1158</v>
      </c>
      <c r="D933" s="7" t="s">
        <v>1159</v>
      </c>
      <c r="E933" s="7" t="s">
        <v>3155</v>
      </c>
      <c r="F933" s="3" t="str">
        <f>IFERROR(__xludf.DUMMYFUNCTION("REGEXREPLACE(E933, ""[^A-Za-z0-9]"", """")"),"CitizenshipStatusbyAgebyLanguageSpokenatHomeandAbilitytoSpeakEnglishforthePopulation5YearsandOver")</f>
        <v>CitizenshipStatusbyAgebyLanguageSpokenatHomeandAbilitytoSpeakEnglishforthePopulation5YearsandOver</v>
      </c>
      <c r="G933" s="7"/>
      <c r="H933" s="7" t="s">
        <v>3234</v>
      </c>
      <c r="I933" s="1" t="s">
        <v>3235</v>
      </c>
      <c r="J933" s="7" t="s">
        <v>3236</v>
      </c>
      <c r="K933" s="1"/>
      <c r="L933" s="1" t="s">
        <v>3237</v>
      </c>
      <c r="M933" s="1"/>
      <c r="N933" s="1"/>
      <c r="O933" s="1" t="str">
        <f t="shared" si="1"/>
        <v> = 'B16008_021',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2" t="s">
        <v>10</v>
      </c>
      <c r="B934" s="1"/>
      <c r="C934" s="7" t="s">
        <v>1158</v>
      </c>
      <c r="D934" s="7" t="s">
        <v>1159</v>
      </c>
      <c r="E934" s="7" t="s">
        <v>3155</v>
      </c>
      <c r="F934" s="3" t="str">
        <f>IFERROR(__xludf.DUMMYFUNCTION("REGEXREPLACE(E934, ""[^A-Za-z0-9]"", """")"),"CitizenshipStatusbyAgebyLanguageSpokenatHomeandAbilitytoSpeakEnglishforthePopulation5YearsandOver")</f>
        <v>CitizenshipStatusbyAgebyLanguageSpokenatHomeandAbilitytoSpeakEnglishforthePopulation5YearsandOver</v>
      </c>
      <c r="G934" s="7"/>
      <c r="H934" s="7" t="s">
        <v>3238</v>
      </c>
      <c r="I934" s="1" t="s">
        <v>3239</v>
      </c>
      <c r="J934" s="7" t="s">
        <v>3240</v>
      </c>
      <c r="K934" s="1"/>
      <c r="L934" s="1" t="s">
        <v>3241</v>
      </c>
      <c r="M934" s="1"/>
      <c r="N934" s="1"/>
      <c r="O934" s="1" t="str">
        <f t="shared" si="1"/>
        <v> = 'B16008_022',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2" t="s">
        <v>10</v>
      </c>
      <c r="B935" s="1"/>
      <c r="C935" s="7" t="s">
        <v>1158</v>
      </c>
      <c r="D935" s="7" t="s">
        <v>1159</v>
      </c>
      <c r="E935" s="7" t="s">
        <v>3155</v>
      </c>
      <c r="F935" s="3" t="str">
        <f>IFERROR(__xludf.DUMMYFUNCTION("REGEXREPLACE(E935, ""[^A-Za-z0-9]"", """")"),"CitizenshipStatusbyAgebyLanguageSpokenatHomeandAbilitytoSpeakEnglishforthePopulation5YearsandOver")</f>
        <v>CitizenshipStatusbyAgebyLanguageSpokenatHomeandAbilitytoSpeakEnglishforthePopulation5YearsandOver</v>
      </c>
      <c r="G935" s="7"/>
      <c r="H935" s="7" t="s">
        <v>3242</v>
      </c>
      <c r="I935" s="1" t="s">
        <v>3243</v>
      </c>
      <c r="J935" s="7" t="s">
        <v>3244</v>
      </c>
      <c r="K935" s="1"/>
      <c r="L935" s="1" t="s">
        <v>3245</v>
      </c>
      <c r="M935" s="1"/>
      <c r="N935" s="1"/>
      <c r="O935" s="1" t="str">
        <f t="shared" si="1"/>
        <v> = 'B16008_023',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2" t="s">
        <v>10</v>
      </c>
      <c r="B936" s="1"/>
      <c r="C936" s="7" t="s">
        <v>1158</v>
      </c>
      <c r="D936" s="7" t="s">
        <v>1159</v>
      </c>
      <c r="E936" s="7" t="s">
        <v>3155</v>
      </c>
      <c r="F936" s="3" t="str">
        <f>IFERROR(__xludf.DUMMYFUNCTION("REGEXREPLACE(E936, ""[^A-Za-z0-9]"", """")"),"CitizenshipStatusbyAgebyLanguageSpokenatHomeandAbilitytoSpeakEnglishforthePopulation5YearsandOver")</f>
        <v>CitizenshipStatusbyAgebyLanguageSpokenatHomeandAbilitytoSpeakEnglishforthePopulation5YearsandOver</v>
      </c>
      <c r="G936" s="7"/>
      <c r="H936" s="7" t="s">
        <v>3246</v>
      </c>
      <c r="I936" s="1" t="s">
        <v>3247</v>
      </c>
      <c r="J936" s="7" t="s">
        <v>3248</v>
      </c>
      <c r="K936" s="1"/>
      <c r="L936" s="1" t="s">
        <v>3249</v>
      </c>
      <c r="M936" s="1"/>
      <c r="N936" s="1"/>
      <c r="O936" s="1" t="str">
        <f t="shared" si="1"/>
        <v> = 'B16008_024',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2" t="s">
        <v>10</v>
      </c>
      <c r="B937" s="1"/>
      <c r="C937" s="7" t="s">
        <v>1158</v>
      </c>
      <c r="D937" s="7" t="s">
        <v>1159</v>
      </c>
      <c r="E937" s="7" t="s">
        <v>3155</v>
      </c>
      <c r="F937" s="3" t="str">
        <f>IFERROR(__xludf.DUMMYFUNCTION("REGEXREPLACE(E937, ""[^A-Za-z0-9]"", """")"),"CitizenshipStatusbyAgebyLanguageSpokenatHomeandAbilitytoSpeakEnglishforthePopulation5YearsandOver")</f>
        <v>CitizenshipStatusbyAgebyLanguageSpokenatHomeandAbilitytoSpeakEnglishforthePopulation5YearsandOver</v>
      </c>
      <c r="G937" s="7"/>
      <c r="H937" s="7" t="s">
        <v>3250</v>
      </c>
      <c r="I937" s="1" t="s">
        <v>3251</v>
      </c>
      <c r="J937" s="7" t="s">
        <v>3252</v>
      </c>
      <c r="K937" s="1"/>
      <c r="L937" s="1" t="s">
        <v>3253</v>
      </c>
      <c r="M937" s="1"/>
      <c r="N937" s="1"/>
      <c r="O937" s="1" t="str">
        <f t="shared" si="1"/>
        <v> = 'B16008_025',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2" t="s">
        <v>10</v>
      </c>
      <c r="B938" s="1"/>
      <c r="C938" s="7" t="s">
        <v>1158</v>
      </c>
      <c r="D938" s="7" t="s">
        <v>1159</v>
      </c>
      <c r="E938" s="7" t="s">
        <v>3155</v>
      </c>
      <c r="F938" s="3" t="str">
        <f>IFERROR(__xludf.DUMMYFUNCTION("REGEXREPLACE(E938, ""[^A-Za-z0-9]"", """")"),"CitizenshipStatusbyAgebyLanguageSpokenatHomeandAbilitytoSpeakEnglishforthePopulation5YearsandOver")</f>
        <v>CitizenshipStatusbyAgebyLanguageSpokenatHomeandAbilitytoSpeakEnglishforthePopulation5YearsandOver</v>
      </c>
      <c r="G938" s="7"/>
      <c r="H938" s="7" t="s">
        <v>3254</v>
      </c>
      <c r="I938" s="1" t="s">
        <v>3255</v>
      </c>
      <c r="J938" s="7" t="s">
        <v>3256</v>
      </c>
      <c r="K938" s="1"/>
      <c r="L938" s="1" t="s">
        <v>3257</v>
      </c>
      <c r="M938" s="1"/>
      <c r="N938" s="1"/>
      <c r="O938" s="1" t="str">
        <f t="shared" si="1"/>
        <v> = 'B16008_026',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2" t="s">
        <v>10</v>
      </c>
      <c r="B939" s="1"/>
      <c r="C939" s="7" t="s">
        <v>1158</v>
      </c>
      <c r="D939" s="7" t="s">
        <v>1159</v>
      </c>
      <c r="E939" s="7" t="s">
        <v>3155</v>
      </c>
      <c r="F939" s="3" t="str">
        <f>IFERROR(__xludf.DUMMYFUNCTION("REGEXREPLACE(E939, ""[^A-Za-z0-9]"", """")"),"CitizenshipStatusbyAgebyLanguageSpokenatHomeandAbilitytoSpeakEnglishforthePopulation5YearsandOver")</f>
        <v>CitizenshipStatusbyAgebyLanguageSpokenatHomeandAbilitytoSpeakEnglishforthePopulation5YearsandOver</v>
      </c>
      <c r="G939" s="7"/>
      <c r="H939" s="7" t="s">
        <v>3258</v>
      </c>
      <c r="I939" s="1" t="s">
        <v>3259</v>
      </c>
      <c r="J939" s="7" t="s">
        <v>3260</v>
      </c>
      <c r="K939" s="1"/>
      <c r="L939" s="1" t="s">
        <v>3261</v>
      </c>
      <c r="M939" s="1"/>
      <c r="N939" s="1"/>
      <c r="O939" s="1" t="str">
        <f t="shared" si="1"/>
        <v> = 'B16008_027',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2" t="s">
        <v>10</v>
      </c>
      <c r="B940" s="1"/>
      <c r="C940" s="7" t="s">
        <v>1158</v>
      </c>
      <c r="D940" s="7" t="s">
        <v>1159</v>
      </c>
      <c r="E940" s="7" t="s">
        <v>3155</v>
      </c>
      <c r="F940" s="3" t="str">
        <f>IFERROR(__xludf.DUMMYFUNCTION("REGEXREPLACE(E940, ""[^A-Za-z0-9]"", """")"),"CitizenshipStatusbyAgebyLanguageSpokenatHomeandAbilitytoSpeakEnglishforthePopulation5YearsandOver")</f>
        <v>CitizenshipStatusbyAgebyLanguageSpokenatHomeandAbilitytoSpeakEnglishforthePopulation5YearsandOver</v>
      </c>
      <c r="G940" s="7"/>
      <c r="H940" s="7" t="s">
        <v>3262</v>
      </c>
      <c r="I940" s="1" t="s">
        <v>3263</v>
      </c>
      <c r="J940" s="7" t="s">
        <v>3264</v>
      </c>
      <c r="K940" s="1"/>
      <c r="L940" s="1" t="s">
        <v>3265</v>
      </c>
      <c r="M940" s="1"/>
      <c r="N940" s="1"/>
      <c r="O940" s="1" t="str">
        <f t="shared" si="1"/>
        <v> = 'B16008_028',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2" t="s">
        <v>10</v>
      </c>
      <c r="B941" s="1"/>
      <c r="C941" s="7" t="s">
        <v>1158</v>
      </c>
      <c r="D941" s="7" t="s">
        <v>1159</v>
      </c>
      <c r="E941" s="7" t="s">
        <v>3155</v>
      </c>
      <c r="F941" s="3" t="str">
        <f>IFERROR(__xludf.DUMMYFUNCTION("REGEXREPLACE(E941, ""[^A-Za-z0-9]"", """")"),"CitizenshipStatusbyAgebyLanguageSpokenatHomeandAbilitytoSpeakEnglishforthePopulation5YearsandOver")</f>
        <v>CitizenshipStatusbyAgebyLanguageSpokenatHomeandAbilitytoSpeakEnglishforthePopulation5YearsandOver</v>
      </c>
      <c r="G941" s="7"/>
      <c r="H941" s="7" t="s">
        <v>3266</v>
      </c>
      <c r="I941" s="1" t="s">
        <v>3267</v>
      </c>
      <c r="J941" s="7" t="s">
        <v>3268</v>
      </c>
      <c r="K941" s="1"/>
      <c r="L941" s="1" t="s">
        <v>3269</v>
      </c>
      <c r="M941" s="1"/>
      <c r="N941" s="1"/>
      <c r="O941" s="1" t="str">
        <f t="shared" si="1"/>
        <v> = 'B16008_029',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2" t="s">
        <v>10</v>
      </c>
      <c r="B942" s="1"/>
      <c r="C942" s="7" t="s">
        <v>1158</v>
      </c>
      <c r="D942" s="7" t="s">
        <v>1159</v>
      </c>
      <c r="E942" s="7" t="s">
        <v>3155</v>
      </c>
      <c r="F942" s="3" t="str">
        <f>IFERROR(__xludf.DUMMYFUNCTION("REGEXREPLACE(E942, ""[^A-Za-z0-9]"", """")"),"CitizenshipStatusbyAgebyLanguageSpokenatHomeandAbilitytoSpeakEnglishforthePopulation5YearsandOver")</f>
        <v>CitizenshipStatusbyAgebyLanguageSpokenatHomeandAbilitytoSpeakEnglishforthePopulation5YearsandOver</v>
      </c>
      <c r="G942" s="7"/>
      <c r="H942" s="7" t="s">
        <v>3270</v>
      </c>
      <c r="I942" s="1" t="s">
        <v>3271</v>
      </c>
      <c r="J942" s="7" t="s">
        <v>3272</v>
      </c>
      <c r="K942" s="1"/>
      <c r="L942" s="1" t="s">
        <v>3273</v>
      </c>
      <c r="M942" s="1"/>
      <c r="N942" s="1"/>
      <c r="O942" s="1" t="str">
        <f t="shared" si="1"/>
        <v> = 'B16008_030',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2" t="s">
        <v>10</v>
      </c>
      <c r="B943" s="1"/>
      <c r="C943" s="7" t="s">
        <v>1158</v>
      </c>
      <c r="D943" s="7" t="s">
        <v>1159</v>
      </c>
      <c r="E943" s="7" t="s">
        <v>3155</v>
      </c>
      <c r="F943" s="3" t="str">
        <f>IFERROR(__xludf.DUMMYFUNCTION("REGEXREPLACE(E943, ""[^A-Za-z0-9]"", """")"),"CitizenshipStatusbyAgebyLanguageSpokenatHomeandAbilitytoSpeakEnglishforthePopulation5YearsandOver")</f>
        <v>CitizenshipStatusbyAgebyLanguageSpokenatHomeandAbilitytoSpeakEnglishforthePopulation5YearsandOver</v>
      </c>
      <c r="G943" s="7"/>
      <c r="H943" s="7" t="s">
        <v>3274</v>
      </c>
      <c r="I943" s="1" t="s">
        <v>3275</v>
      </c>
      <c r="J943" s="7" t="s">
        <v>3276</v>
      </c>
      <c r="K943" s="1"/>
      <c r="L943" s="1" t="s">
        <v>3277</v>
      </c>
      <c r="M943" s="1"/>
      <c r="N943" s="1"/>
      <c r="O943" s="1" t="str">
        <f t="shared" si="1"/>
        <v> = 'B16008_031',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2" t="s">
        <v>10</v>
      </c>
      <c r="B944" s="1"/>
      <c r="C944" s="7" t="s">
        <v>1158</v>
      </c>
      <c r="D944" s="7" t="s">
        <v>1159</v>
      </c>
      <c r="E944" s="7" t="s">
        <v>3155</v>
      </c>
      <c r="F944" s="3" t="str">
        <f>IFERROR(__xludf.DUMMYFUNCTION("REGEXREPLACE(E944, ""[^A-Za-z0-9]"", """")"),"CitizenshipStatusbyAgebyLanguageSpokenatHomeandAbilitytoSpeakEnglishforthePopulation5YearsandOver")</f>
        <v>CitizenshipStatusbyAgebyLanguageSpokenatHomeandAbilitytoSpeakEnglishforthePopulation5YearsandOver</v>
      </c>
      <c r="G944" s="7"/>
      <c r="H944" s="7" t="s">
        <v>3278</v>
      </c>
      <c r="I944" s="1" t="s">
        <v>3279</v>
      </c>
      <c r="J944" s="7" t="s">
        <v>3280</v>
      </c>
      <c r="K944" s="1"/>
      <c r="L944" s="1" t="s">
        <v>3281</v>
      </c>
      <c r="M944" s="1"/>
      <c r="N944" s="1"/>
      <c r="O944" s="1" t="str">
        <f t="shared" si="1"/>
        <v> = 'B16008_032',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2" t="s">
        <v>10</v>
      </c>
      <c r="B945" s="1"/>
      <c r="C945" s="7" t="s">
        <v>1158</v>
      </c>
      <c r="D945" s="7" t="s">
        <v>1159</v>
      </c>
      <c r="E945" s="7" t="s">
        <v>3155</v>
      </c>
      <c r="F945" s="3" t="str">
        <f>IFERROR(__xludf.DUMMYFUNCTION("REGEXREPLACE(E945, ""[^A-Za-z0-9]"", """")"),"CitizenshipStatusbyAgebyLanguageSpokenatHomeandAbilitytoSpeakEnglishforthePopulation5YearsandOver")</f>
        <v>CitizenshipStatusbyAgebyLanguageSpokenatHomeandAbilitytoSpeakEnglishforthePopulation5YearsandOver</v>
      </c>
      <c r="G945" s="7"/>
      <c r="H945" s="7" t="s">
        <v>3282</v>
      </c>
      <c r="I945" s="1" t="s">
        <v>3283</v>
      </c>
      <c r="J945" s="7" t="s">
        <v>3284</v>
      </c>
      <c r="K945" s="1"/>
      <c r="L945" s="1" t="s">
        <v>3285</v>
      </c>
      <c r="M945" s="1"/>
      <c r="N945" s="1"/>
      <c r="O945" s="1" t="str">
        <f t="shared" si="1"/>
        <v> = 'B16008_033',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2" t="s">
        <v>10</v>
      </c>
      <c r="B946" s="1"/>
      <c r="C946" s="7" t="s">
        <v>1158</v>
      </c>
      <c r="D946" s="7" t="s">
        <v>1159</v>
      </c>
      <c r="E946" s="7" t="s">
        <v>3155</v>
      </c>
      <c r="F946" s="3" t="str">
        <f>IFERROR(__xludf.DUMMYFUNCTION("REGEXREPLACE(E946, ""[^A-Za-z0-9]"", """")"),"CitizenshipStatusbyAgebyLanguageSpokenatHomeandAbilitytoSpeakEnglishforthePopulation5YearsandOver")</f>
        <v>CitizenshipStatusbyAgebyLanguageSpokenatHomeandAbilitytoSpeakEnglishforthePopulation5YearsandOver</v>
      </c>
      <c r="G946" s="7"/>
      <c r="H946" s="7" t="s">
        <v>3286</v>
      </c>
      <c r="I946" s="1" t="s">
        <v>3287</v>
      </c>
      <c r="J946" s="7" t="s">
        <v>3288</v>
      </c>
      <c r="K946" s="1"/>
      <c r="L946" s="1" t="s">
        <v>3289</v>
      </c>
      <c r="M946" s="1"/>
      <c r="N946" s="1"/>
      <c r="O946" s="1" t="str">
        <f t="shared" si="1"/>
        <v> = 'B16008_034',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2" t="s">
        <v>10</v>
      </c>
      <c r="B947" s="1"/>
      <c r="C947" s="7" t="s">
        <v>1158</v>
      </c>
      <c r="D947" s="7" t="s">
        <v>1159</v>
      </c>
      <c r="E947" s="7" t="s">
        <v>3155</v>
      </c>
      <c r="F947" s="3" t="str">
        <f>IFERROR(__xludf.DUMMYFUNCTION("REGEXREPLACE(E947, ""[^A-Za-z0-9]"", """")"),"CitizenshipStatusbyAgebyLanguageSpokenatHomeandAbilitytoSpeakEnglishforthePopulation5YearsandOver")</f>
        <v>CitizenshipStatusbyAgebyLanguageSpokenatHomeandAbilitytoSpeakEnglishforthePopulation5YearsandOver</v>
      </c>
      <c r="G947" s="7"/>
      <c r="H947" s="7" t="s">
        <v>3290</v>
      </c>
      <c r="I947" s="1" t="s">
        <v>3291</v>
      </c>
      <c r="J947" s="7" t="s">
        <v>3292</v>
      </c>
      <c r="K947" s="1"/>
      <c r="L947" s="1" t="s">
        <v>3293</v>
      </c>
      <c r="M947" s="1"/>
      <c r="N947" s="1"/>
      <c r="O947" s="1" t="str">
        <f t="shared" si="1"/>
        <v> = 'B16008_035',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2" t="s">
        <v>10</v>
      </c>
      <c r="B948" s="1"/>
      <c r="C948" s="7" t="s">
        <v>1158</v>
      </c>
      <c r="D948" s="7" t="s">
        <v>1159</v>
      </c>
      <c r="E948" s="7" t="s">
        <v>3155</v>
      </c>
      <c r="F948" s="3" t="str">
        <f>IFERROR(__xludf.DUMMYFUNCTION("REGEXREPLACE(E948, ""[^A-Za-z0-9]"", """")"),"CitizenshipStatusbyAgebyLanguageSpokenatHomeandAbilitytoSpeakEnglishforthePopulation5YearsandOver")</f>
        <v>CitizenshipStatusbyAgebyLanguageSpokenatHomeandAbilitytoSpeakEnglishforthePopulation5YearsandOver</v>
      </c>
      <c r="G948" s="7"/>
      <c r="H948" s="7" t="s">
        <v>3294</v>
      </c>
      <c r="I948" s="1" t="s">
        <v>3295</v>
      </c>
      <c r="J948" s="7" t="s">
        <v>3296</v>
      </c>
      <c r="K948" s="1"/>
      <c r="L948" s="1" t="s">
        <v>3297</v>
      </c>
      <c r="M948" s="1"/>
      <c r="N948" s="1"/>
      <c r="O948" s="1" t="str">
        <f t="shared" si="1"/>
        <v> = 'B16008_036',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2" t="s">
        <v>10</v>
      </c>
      <c r="B949" s="1"/>
      <c r="C949" s="7" t="s">
        <v>1158</v>
      </c>
      <c r="D949" s="7" t="s">
        <v>1159</v>
      </c>
      <c r="E949" s="7" t="s">
        <v>3155</v>
      </c>
      <c r="F949" s="3" t="str">
        <f>IFERROR(__xludf.DUMMYFUNCTION("REGEXREPLACE(E949, ""[^A-Za-z0-9]"", """")"),"CitizenshipStatusbyAgebyLanguageSpokenatHomeandAbilitytoSpeakEnglishforthePopulation5YearsandOver")</f>
        <v>CitizenshipStatusbyAgebyLanguageSpokenatHomeandAbilitytoSpeakEnglishforthePopulation5YearsandOver</v>
      </c>
      <c r="G949" s="7"/>
      <c r="H949" s="7" t="s">
        <v>3298</v>
      </c>
      <c r="I949" s="1" t="s">
        <v>3299</v>
      </c>
      <c r="J949" s="7" t="s">
        <v>3300</v>
      </c>
      <c r="K949" s="1"/>
      <c r="L949" s="1" t="s">
        <v>3301</v>
      </c>
      <c r="M949" s="1"/>
      <c r="N949" s="1"/>
      <c r="O949" s="1" t="str">
        <f t="shared" si="1"/>
        <v> = 'B16008_037',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2" t="s">
        <v>10</v>
      </c>
      <c r="B950" s="1"/>
      <c r="C950" s="7" t="s">
        <v>1158</v>
      </c>
      <c r="D950" s="7" t="s">
        <v>1159</v>
      </c>
      <c r="E950" s="7" t="s">
        <v>3155</v>
      </c>
      <c r="F950" s="3" t="str">
        <f>IFERROR(__xludf.DUMMYFUNCTION("REGEXREPLACE(E950, ""[^A-Za-z0-9]"", """")"),"CitizenshipStatusbyAgebyLanguageSpokenatHomeandAbilitytoSpeakEnglishforthePopulation5YearsandOver")</f>
        <v>CitizenshipStatusbyAgebyLanguageSpokenatHomeandAbilitytoSpeakEnglishforthePopulation5YearsandOver</v>
      </c>
      <c r="G950" s="7"/>
      <c r="H950" s="7" t="s">
        <v>3302</v>
      </c>
      <c r="I950" s="1" t="s">
        <v>3303</v>
      </c>
      <c r="J950" s="7" t="s">
        <v>3304</v>
      </c>
      <c r="K950" s="1"/>
      <c r="L950" s="1" t="s">
        <v>3305</v>
      </c>
      <c r="M950" s="1"/>
      <c r="N950" s="1"/>
      <c r="O950" s="1" t="str">
        <f t="shared" si="1"/>
        <v> = 'B16008_038',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2" t="s">
        <v>10</v>
      </c>
      <c r="B951" s="1"/>
      <c r="C951" s="7" t="s">
        <v>1158</v>
      </c>
      <c r="D951" s="7" t="s">
        <v>1159</v>
      </c>
      <c r="E951" s="7" t="s">
        <v>3155</v>
      </c>
      <c r="F951" s="3" t="str">
        <f>IFERROR(__xludf.DUMMYFUNCTION("REGEXREPLACE(E951, ""[^A-Za-z0-9]"", """")"),"CitizenshipStatusbyAgebyLanguageSpokenatHomeandAbilitytoSpeakEnglishforthePopulation5YearsandOver")</f>
        <v>CitizenshipStatusbyAgebyLanguageSpokenatHomeandAbilitytoSpeakEnglishforthePopulation5YearsandOver</v>
      </c>
      <c r="G951" s="7"/>
      <c r="H951" s="7" t="s">
        <v>3306</v>
      </c>
      <c r="I951" s="1" t="s">
        <v>3307</v>
      </c>
      <c r="J951" s="7" t="s">
        <v>3308</v>
      </c>
      <c r="K951" s="1"/>
      <c r="L951" s="1" t="s">
        <v>3309</v>
      </c>
      <c r="M951" s="1"/>
      <c r="N951" s="1"/>
      <c r="O951" s="1" t="str">
        <f t="shared" si="1"/>
        <v> = 'B16008_039',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2" t="s">
        <v>10</v>
      </c>
      <c r="B952" s="1"/>
      <c r="C952" s="7" t="s">
        <v>1158</v>
      </c>
      <c r="D952" s="7" t="s">
        <v>1159</v>
      </c>
      <c r="E952" s="7" t="s">
        <v>3155</v>
      </c>
      <c r="F952" s="3" t="str">
        <f>IFERROR(__xludf.DUMMYFUNCTION("REGEXREPLACE(E952, ""[^A-Za-z0-9]"", """")"),"CitizenshipStatusbyAgebyLanguageSpokenatHomeandAbilitytoSpeakEnglishforthePopulation5YearsandOver")</f>
        <v>CitizenshipStatusbyAgebyLanguageSpokenatHomeandAbilitytoSpeakEnglishforthePopulation5YearsandOver</v>
      </c>
      <c r="G952" s="7"/>
      <c r="H952" s="7" t="s">
        <v>3310</v>
      </c>
      <c r="I952" s="1" t="s">
        <v>3311</v>
      </c>
      <c r="J952" s="7" t="s">
        <v>3312</v>
      </c>
      <c r="K952" s="1"/>
      <c r="L952" s="1" t="s">
        <v>3313</v>
      </c>
      <c r="M952" s="1"/>
      <c r="N952" s="1"/>
      <c r="O952" s="1" t="str">
        <f t="shared" si="1"/>
        <v> = 'B16008_040',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2" t="s">
        <v>10</v>
      </c>
      <c r="B953" s="1"/>
      <c r="C953" s="7" t="s">
        <v>1158</v>
      </c>
      <c r="D953" s="7" t="s">
        <v>1159</v>
      </c>
      <c r="E953" s="7" t="s">
        <v>3155</v>
      </c>
      <c r="F953" s="3" t="str">
        <f>IFERROR(__xludf.DUMMYFUNCTION("REGEXREPLACE(E953, ""[^A-Za-z0-9]"", """")"),"CitizenshipStatusbyAgebyLanguageSpokenatHomeandAbilitytoSpeakEnglishforthePopulation5YearsandOver")</f>
        <v>CitizenshipStatusbyAgebyLanguageSpokenatHomeandAbilitytoSpeakEnglishforthePopulation5YearsandOver</v>
      </c>
      <c r="G953" s="7"/>
      <c r="H953" s="7" t="s">
        <v>3314</v>
      </c>
      <c r="I953" s="1" t="s">
        <v>3315</v>
      </c>
      <c r="J953" s="7" t="s">
        <v>3316</v>
      </c>
      <c r="K953" s="1"/>
      <c r="L953" s="1" t="s">
        <v>3317</v>
      </c>
      <c r="M953" s="1"/>
      <c r="N953" s="1"/>
      <c r="O953" s="1" t="str">
        <f t="shared" si="1"/>
        <v> = 'B16008_041',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2" t="s">
        <v>10</v>
      </c>
      <c r="B954" s="1"/>
      <c r="C954" s="7" t="s">
        <v>1158</v>
      </c>
      <c r="D954" s="7" t="s">
        <v>1159</v>
      </c>
      <c r="E954" s="7" t="s">
        <v>3155</v>
      </c>
      <c r="F954" s="3" t="str">
        <f>IFERROR(__xludf.DUMMYFUNCTION("REGEXREPLACE(E954, ""[^A-Za-z0-9]"", """")"),"CitizenshipStatusbyAgebyLanguageSpokenatHomeandAbilitytoSpeakEnglishforthePopulation5YearsandOver")</f>
        <v>CitizenshipStatusbyAgebyLanguageSpokenatHomeandAbilitytoSpeakEnglishforthePopulation5YearsandOver</v>
      </c>
      <c r="G954" s="7"/>
      <c r="H954" s="7" t="s">
        <v>3318</v>
      </c>
      <c r="I954" s="1" t="s">
        <v>3319</v>
      </c>
      <c r="J954" s="7" t="s">
        <v>3320</v>
      </c>
      <c r="K954" s="1"/>
      <c r="L954" s="1" t="s">
        <v>3321</v>
      </c>
      <c r="M954" s="1"/>
      <c r="N954" s="1"/>
      <c r="O954" s="1" t="str">
        <f t="shared" si="1"/>
        <v> = 'B16008_042',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2" t="s">
        <v>10</v>
      </c>
      <c r="B955" s="1"/>
      <c r="C955" s="7" t="s">
        <v>1158</v>
      </c>
      <c r="D955" s="7" t="s">
        <v>1159</v>
      </c>
      <c r="E955" s="7" t="s">
        <v>3155</v>
      </c>
      <c r="F955" s="3" t="str">
        <f>IFERROR(__xludf.DUMMYFUNCTION("REGEXREPLACE(E955, ""[^A-Za-z0-9]"", """")"),"CitizenshipStatusbyAgebyLanguageSpokenatHomeandAbilitytoSpeakEnglishforthePopulation5YearsandOver")</f>
        <v>CitizenshipStatusbyAgebyLanguageSpokenatHomeandAbilitytoSpeakEnglishforthePopulation5YearsandOver</v>
      </c>
      <c r="G955" s="7"/>
      <c r="H955" s="7" t="s">
        <v>3322</v>
      </c>
      <c r="I955" s="1" t="s">
        <v>3323</v>
      </c>
      <c r="J955" s="7" t="s">
        <v>3324</v>
      </c>
      <c r="K955" s="1"/>
      <c r="L955" s="1" t="s">
        <v>3325</v>
      </c>
      <c r="M955" s="1"/>
      <c r="N955" s="1"/>
      <c r="O955" s="1" t="str">
        <f t="shared" si="1"/>
        <v> = 'B16008_043',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2" t="s">
        <v>10</v>
      </c>
      <c r="B956" s="1"/>
      <c r="C956" s="7" t="s">
        <v>1158</v>
      </c>
      <c r="D956" s="7" t="s">
        <v>1159</v>
      </c>
      <c r="E956" s="7" t="s">
        <v>3155</v>
      </c>
      <c r="F956" s="3" t="str">
        <f>IFERROR(__xludf.DUMMYFUNCTION("REGEXREPLACE(E956, ""[^A-Za-z0-9]"", """")"),"CitizenshipStatusbyAgebyLanguageSpokenatHomeandAbilitytoSpeakEnglishforthePopulation5YearsandOver")</f>
        <v>CitizenshipStatusbyAgebyLanguageSpokenatHomeandAbilitytoSpeakEnglishforthePopulation5YearsandOver</v>
      </c>
      <c r="G956" s="7"/>
      <c r="H956" s="7" t="s">
        <v>3326</v>
      </c>
      <c r="I956" s="1" t="s">
        <v>3327</v>
      </c>
      <c r="J956" s="7" t="s">
        <v>3328</v>
      </c>
      <c r="K956" s="1"/>
      <c r="L956" s="1" t="s">
        <v>3329</v>
      </c>
      <c r="M956" s="1"/>
      <c r="N956" s="1"/>
      <c r="O956" s="1" t="str">
        <f t="shared" si="1"/>
        <v> = 'B16008_044',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2" t="s">
        <v>10</v>
      </c>
      <c r="B957" s="1"/>
      <c r="C957" s="7" t="s">
        <v>1158</v>
      </c>
      <c r="D957" s="7" t="s">
        <v>1159</v>
      </c>
      <c r="E957" s="7" t="s">
        <v>3155</v>
      </c>
      <c r="F957" s="3" t="str">
        <f>IFERROR(__xludf.DUMMYFUNCTION("REGEXREPLACE(E957, ""[^A-Za-z0-9]"", """")"),"CitizenshipStatusbyAgebyLanguageSpokenatHomeandAbilitytoSpeakEnglishforthePopulation5YearsandOver")</f>
        <v>CitizenshipStatusbyAgebyLanguageSpokenatHomeandAbilitytoSpeakEnglishforthePopulation5YearsandOver</v>
      </c>
      <c r="G957" s="7"/>
      <c r="H957" s="7" t="s">
        <v>3330</v>
      </c>
      <c r="I957" s="1" t="s">
        <v>3331</v>
      </c>
      <c r="J957" s="7" t="s">
        <v>3332</v>
      </c>
      <c r="K957" s="1"/>
      <c r="L957" s="1" t="s">
        <v>3333</v>
      </c>
      <c r="M957" s="1"/>
      <c r="N957" s="1"/>
      <c r="O957" s="1" t="str">
        <f t="shared" si="1"/>
        <v> = 'B16008_045',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2" t="s">
        <v>10</v>
      </c>
      <c r="B958" s="1"/>
      <c r="C958" s="7" t="s">
        <v>1158</v>
      </c>
      <c r="D958" s="7" t="s">
        <v>1159</v>
      </c>
      <c r="E958" s="7" t="s">
        <v>3155</v>
      </c>
      <c r="F958" s="3" t="str">
        <f>IFERROR(__xludf.DUMMYFUNCTION("REGEXREPLACE(E958, ""[^A-Za-z0-9]"", """")"),"CitizenshipStatusbyAgebyLanguageSpokenatHomeandAbilitytoSpeakEnglishforthePopulation5YearsandOver")</f>
        <v>CitizenshipStatusbyAgebyLanguageSpokenatHomeandAbilitytoSpeakEnglishforthePopulation5YearsandOver</v>
      </c>
      <c r="G958" s="7"/>
      <c r="H958" s="7" t="s">
        <v>3334</v>
      </c>
      <c r="I958" s="1" t="s">
        <v>3335</v>
      </c>
      <c r="J958" s="7" t="s">
        <v>3336</v>
      </c>
      <c r="K958" s="1"/>
      <c r="L958" s="1" t="s">
        <v>3337</v>
      </c>
      <c r="M958" s="1"/>
      <c r="N958" s="1"/>
      <c r="O958" s="1" t="str">
        <f t="shared" si="1"/>
        <v> = 'B16008_046',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2" t="s">
        <v>10</v>
      </c>
      <c r="B959" s="1"/>
      <c r="C959" s="7" t="s">
        <v>1158</v>
      </c>
      <c r="D959" s="7" t="s">
        <v>1159</v>
      </c>
      <c r="E959" s="7" t="s">
        <v>3155</v>
      </c>
      <c r="F959" s="3" t="str">
        <f>IFERROR(__xludf.DUMMYFUNCTION("REGEXREPLACE(E959, ""[^A-Za-z0-9]"", """")"),"CitizenshipStatusbyAgebyLanguageSpokenatHomeandAbilitytoSpeakEnglishforthePopulation5YearsandOver")</f>
        <v>CitizenshipStatusbyAgebyLanguageSpokenatHomeandAbilitytoSpeakEnglishforthePopulation5YearsandOver</v>
      </c>
      <c r="G959" s="7"/>
      <c r="H959" s="7" t="s">
        <v>3338</v>
      </c>
      <c r="I959" s="1" t="s">
        <v>3339</v>
      </c>
      <c r="J959" s="7" t="s">
        <v>3340</v>
      </c>
      <c r="K959" s="1"/>
      <c r="L959" s="1" t="s">
        <v>3341</v>
      </c>
      <c r="M959" s="1"/>
      <c r="N959" s="1"/>
      <c r="O959" s="1" t="str">
        <f t="shared" si="1"/>
        <v> = 'B16008_047',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2" t="s">
        <v>10</v>
      </c>
      <c r="B960" s="1"/>
      <c r="C960" s="7" t="s">
        <v>1158</v>
      </c>
      <c r="D960" s="7" t="s">
        <v>1159</v>
      </c>
      <c r="E960" s="7" t="s">
        <v>3155</v>
      </c>
      <c r="F960" s="3" t="str">
        <f>IFERROR(__xludf.DUMMYFUNCTION("REGEXREPLACE(E960, ""[^A-Za-z0-9]"", """")"),"CitizenshipStatusbyAgebyLanguageSpokenatHomeandAbilitytoSpeakEnglishforthePopulation5YearsandOver")</f>
        <v>CitizenshipStatusbyAgebyLanguageSpokenatHomeandAbilitytoSpeakEnglishforthePopulation5YearsandOver</v>
      </c>
      <c r="G960" s="7"/>
      <c r="H960" s="7" t="s">
        <v>3342</v>
      </c>
      <c r="I960" s="1" t="s">
        <v>3343</v>
      </c>
      <c r="J960" s="7" t="s">
        <v>3344</v>
      </c>
      <c r="K960" s="1"/>
      <c r="L960" s="1" t="s">
        <v>3345</v>
      </c>
      <c r="M960" s="1"/>
      <c r="N960" s="1"/>
      <c r="O960" s="1" t="str">
        <f t="shared" si="1"/>
        <v> = 'B16008_048',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2" t="s">
        <v>10</v>
      </c>
      <c r="B961" s="1"/>
      <c r="C961" s="7" t="s">
        <v>1158</v>
      </c>
      <c r="D961" s="7" t="s">
        <v>1159</v>
      </c>
      <c r="E961" s="7" t="s">
        <v>3155</v>
      </c>
      <c r="F961" s="3" t="str">
        <f>IFERROR(__xludf.DUMMYFUNCTION("REGEXREPLACE(E961, ""[^A-Za-z0-9]"", """")"),"CitizenshipStatusbyAgebyLanguageSpokenatHomeandAbilitytoSpeakEnglishforthePopulation5YearsandOver")</f>
        <v>CitizenshipStatusbyAgebyLanguageSpokenatHomeandAbilitytoSpeakEnglishforthePopulation5YearsandOver</v>
      </c>
      <c r="G961" s="7"/>
      <c r="H961" s="7" t="s">
        <v>3346</v>
      </c>
      <c r="I961" s="1" t="s">
        <v>3347</v>
      </c>
      <c r="J961" s="7" t="s">
        <v>3348</v>
      </c>
      <c r="K961" s="1"/>
      <c r="L961" s="1" t="s">
        <v>3349</v>
      </c>
      <c r="M961" s="1"/>
      <c r="N961" s="1"/>
      <c r="O961" s="1" t="str">
        <f t="shared" si="1"/>
        <v> = 'B16008_049',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2" t="s">
        <v>10</v>
      </c>
      <c r="B962" s="1"/>
      <c r="C962" s="7" t="s">
        <v>1158</v>
      </c>
      <c r="D962" s="7" t="s">
        <v>1159</v>
      </c>
      <c r="E962" s="7" t="s">
        <v>3155</v>
      </c>
      <c r="F962" s="3" t="str">
        <f>IFERROR(__xludf.DUMMYFUNCTION("REGEXREPLACE(E962, ""[^A-Za-z0-9]"", """")"),"CitizenshipStatusbyAgebyLanguageSpokenatHomeandAbilitytoSpeakEnglishforthePopulation5YearsandOver")</f>
        <v>CitizenshipStatusbyAgebyLanguageSpokenatHomeandAbilitytoSpeakEnglishforthePopulation5YearsandOver</v>
      </c>
      <c r="G962" s="7"/>
      <c r="H962" s="7" t="s">
        <v>3350</v>
      </c>
      <c r="I962" s="1" t="s">
        <v>3351</v>
      </c>
      <c r="J962" s="7" t="s">
        <v>3352</v>
      </c>
      <c r="K962" s="1"/>
      <c r="L962" s="1" t="s">
        <v>3353</v>
      </c>
      <c r="M962" s="1"/>
      <c r="N962" s="1"/>
      <c r="O962" s="1" t="str">
        <f t="shared" si="1"/>
        <v> = 'B16008_050',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2" t="s">
        <v>10</v>
      </c>
      <c r="B963" s="1"/>
      <c r="C963" s="7" t="s">
        <v>1158</v>
      </c>
      <c r="D963" s="7" t="s">
        <v>1159</v>
      </c>
      <c r="E963" s="7" t="s">
        <v>3155</v>
      </c>
      <c r="F963" s="3" t="str">
        <f>IFERROR(__xludf.DUMMYFUNCTION("REGEXREPLACE(E963, ""[^A-Za-z0-9]"", """")"),"CitizenshipStatusbyAgebyLanguageSpokenatHomeandAbilitytoSpeakEnglishforthePopulation5YearsandOver")</f>
        <v>CitizenshipStatusbyAgebyLanguageSpokenatHomeandAbilitytoSpeakEnglishforthePopulation5YearsandOver</v>
      </c>
      <c r="G963" s="7"/>
      <c r="H963" s="7" t="s">
        <v>3354</v>
      </c>
      <c r="I963" s="1" t="s">
        <v>3355</v>
      </c>
      <c r="J963" s="7" t="s">
        <v>3356</v>
      </c>
      <c r="K963" s="1"/>
      <c r="L963" s="1" t="s">
        <v>3357</v>
      </c>
      <c r="M963" s="1"/>
      <c r="N963" s="1"/>
      <c r="O963" s="1" t="str">
        <f t="shared" si="1"/>
        <v> = 'B16008_051',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2" t="s">
        <v>10</v>
      </c>
      <c r="B964" s="1"/>
      <c r="C964" s="7" t="s">
        <v>1158</v>
      </c>
      <c r="D964" s="7" t="s">
        <v>1159</v>
      </c>
      <c r="E964" s="7" t="s">
        <v>3155</v>
      </c>
      <c r="F964" s="3" t="str">
        <f>IFERROR(__xludf.DUMMYFUNCTION("REGEXREPLACE(E964, ""[^A-Za-z0-9]"", """")"),"CitizenshipStatusbyAgebyLanguageSpokenatHomeandAbilitytoSpeakEnglishforthePopulation5YearsandOver")</f>
        <v>CitizenshipStatusbyAgebyLanguageSpokenatHomeandAbilitytoSpeakEnglishforthePopulation5YearsandOver</v>
      </c>
      <c r="G964" s="7"/>
      <c r="H964" s="7" t="s">
        <v>3358</v>
      </c>
      <c r="I964" s="1" t="s">
        <v>3359</v>
      </c>
      <c r="J964" s="7" t="s">
        <v>3360</v>
      </c>
      <c r="K964" s="1"/>
      <c r="L964" s="1" t="s">
        <v>3361</v>
      </c>
      <c r="M964" s="1"/>
      <c r="N964" s="1"/>
      <c r="O964" s="1" t="str">
        <f t="shared" si="1"/>
        <v> = 'B16008_052',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2" t="s">
        <v>10</v>
      </c>
      <c r="B965" s="1"/>
      <c r="C965" s="7" t="s">
        <v>1158</v>
      </c>
      <c r="D965" s="7" t="s">
        <v>1159</v>
      </c>
      <c r="E965" s="7" t="s">
        <v>3155</v>
      </c>
      <c r="F965" s="3" t="str">
        <f>IFERROR(__xludf.DUMMYFUNCTION("REGEXREPLACE(E965, ""[^A-Za-z0-9]"", """")"),"CitizenshipStatusbyAgebyLanguageSpokenatHomeandAbilitytoSpeakEnglishforthePopulation5YearsandOver")</f>
        <v>CitizenshipStatusbyAgebyLanguageSpokenatHomeandAbilitytoSpeakEnglishforthePopulation5YearsandOver</v>
      </c>
      <c r="G965" s="7"/>
      <c r="H965" s="7" t="s">
        <v>3362</v>
      </c>
      <c r="I965" s="1" t="s">
        <v>3363</v>
      </c>
      <c r="J965" s="7" t="s">
        <v>3364</v>
      </c>
      <c r="K965" s="1"/>
      <c r="L965" s="1" t="s">
        <v>3365</v>
      </c>
      <c r="M965" s="1"/>
      <c r="N965" s="1"/>
      <c r="O965" s="1" t="str">
        <f t="shared" si="1"/>
        <v> = 'B16008_053',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2" t="s">
        <v>10</v>
      </c>
      <c r="B966" s="1"/>
      <c r="C966" s="7" t="s">
        <v>1158</v>
      </c>
      <c r="D966" s="7" t="s">
        <v>1159</v>
      </c>
      <c r="E966" s="7" t="s">
        <v>3366</v>
      </c>
      <c r="F966" s="3" t="str">
        <f>IFERROR(__xludf.DUMMYFUNCTION("REGEXREPLACE(E966, ""[^A-Za-z0-9]"", """")"),"PovertyStatusinthePast12MonthsbyAgebyLanguageSpokenatHomeforthePopulation5YearsandOver")</f>
        <v>PovertyStatusinthePast12MonthsbyAgebyLanguageSpokenatHomeforthePopulation5YearsandOver</v>
      </c>
      <c r="G966" s="7"/>
      <c r="H966" s="7" t="s">
        <v>16</v>
      </c>
      <c r="I966" s="1" t="s">
        <v>3367</v>
      </c>
      <c r="J966" s="7" t="s">
        <v>3368</v>
      </c>
      <c r="K966" s="1"/>
      <c r="L966" s="1" t="s">
        <v>20</v>
      </c>
      <c r="M966" s="1"/>
      <c r="N966" s="1"/>
      <c r="O966" s="1" t="str">
        <f t="shared" si="1"/>
        <v> = 'B16009_001',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2" t="s">
        <v>10</v>
      </c>
      <c r="B967" s="1"/>
      <c r="C967" s="7" t="s">
        <v>1158</v>
      </c>
      <c r="D967" s="7" t="s">
        <v>1159</v>
      </c>
      <c r="E967" s="7" t="s">
        <v>3366</v>
      </c>
      <c r="F967" s="3" t="str">
        <f>IFERROR(__xludf.DUMMYFUNCTION("REGEXREPLACE(E967, ""[^A-Za-z0-9]"", """")"),"PovertyStatusinthePast12MonthsbyAgebyLanguageSpokenatHomeforthePopulation5YearsandOver")</f>
        <v>PovertyStatusinthePast12MonthsbyAgebyLanguageSpokenatHomeforthePopulation5YearsandOver</v>
      </c>
      <c r="G967" s="7"/>
      <c r="H967" s="7" t="s">
        <v>3369</v>
      </c>
      <c r="I967" s="1" t="s">
        <v>3370</v>
      </c>
      <c r="J967" s="7" t="s">
        <v>3371</v>
      </c>
      <c r="K967" s="1"/>
      <c r="L967" s="1" t="s">
        <v>3372</v>
      </c>
      <c r="M967" s="1"/>
      <c r="N967" s="1"/>
      <c r="O967" s="1" t="str">
        <f t="shared" si="1"/>
        <v> = 'B16009_002',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2" t="s">
        <v>10</v>
      </c>
      <c r="B968" s="1"/>
      <c r="C968" s="7" t="s">
        <v>1158</v>
      </c>
      <c r="D968" s="7" t="s">
        <v>1159</v>
      </c>
      <c r="E968" s="7" t="s">
        <v>3366</v>
      </c>
      <c r="F968" s="3" t="str">
        <f>IFERROR(__xludf.DUMMYFUNCTION("REGEXREPLACE(E968, ""[^A-Za-z0-9]"", """")"),"PovertyStatusinthePast12MonthsbyAgebyLanguageSpokenatHomeforthePopulation5YearsandOver")</f>
        <v>PovertyStatusinthePast12MonthsbyAgebyLanguageSpokenatHomeforthePopulation5YearsandOver</v>
      </c>
      <c r="G968" s="7"/>
      <c r="H968" s="7" t="s">
        <v>3373</v>
      </c>
      <c r="I968" s="1" t="s">
        <v>3374</v>
      </c>
      <c r="J968" s="7" t="s">
        <v>3375</v>
      </c>
      <c r="K968" s="1"/>
      <c r="L968" s="1" t="s">
        <v>3376</v>
      </c>
      <c r="M968" s="1"/>
      <c r="N968" s="1"/>
      <c r="O968" s="1" t="str">
        <f t="shared" si="1"/>
        <v> = 'B16009_003',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2" t="s">
        <v>10</v>
      </c>
      <c r="B969" s="1"/>
      <c r="C969" s="7" t="s">
        <v>1158</v>
      </c>
      <c r="D969" s="7" t="s">
        <v>1159</v>
      </c>
      <c r="E969" s="7" t="s">
        <v>3366</v>
      </c>
      <c r="F969" s="3" t="str">
        <f>IFERROR(__xludf.DUMMYFUNCTION("REGEXREPLACE(E969, ""[^A-Za-z0-9]"", """")"),"PovertyStatusinthePast12MonthsbyAgebyLanguageSpokenatHomeforthePopulation5YearsandOver")</f>
        <v>PovertyStatusinthePast12MonthsbyAgebyLanguageSpokenatHomeforthePopulation5YearsandOver</v>
      </c>
      <c r="G969" s="7"/>
      <c r="H969" s="7" t="s">
        <v>3377</v>
      </c>
      <c r="I969" s="1" t="s">
        <v>3378</v>
      </c>
      <c r="J969" s="7" t="s">
        <v>3379</v>
      </c>
      <c r="K969" s="1"/>
      <c r="L969" s="1" t="s">
        <v>3380</v>
      </c>
      <c r="M969" s="1"/>
      <c r="N969" s="1"/>
      <c r="O969" s="1" t="str">
        <f t="shared" si="1"/>
        <v> = 'B16009_004',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2" t="s">
        <v>10</v>
      </c>
      <c r="B970" s="1"/>
      <c r="C970" s="7" t="s">
        <v>1158</v>
      </c>
      <c r="D970" s="7" t="s">
        <v>1159</v>
      </c>
      <c r="E970" s="7" t="s">
        <v>3366</v>
      </c>
      <c r="F970" s="3" t="str">
        <f>IFERROR(__xludf.DUMMYFUNCTION("REGEXREPLACE(E970, ""[^A-Za-z0-9]"", """")"),"PovertyStatusinthePast12MonthsbyAgebyLanguageSpokenatHomeforthePopulation5YearsandOver")</f>
        <v>PovertyStatusinthePast12MonthsbyAgebyLanguageSpokenatHomeforthePopulation5YearsandOver</v>
      </c>
      <c r="G970" s="7"/>
      <c r="H970" s="7" t="s">
        <v>3381</v>
      </c>
      <c r="I970" s="1" t="s">
        <v>3382</v>
      </c>
      <c r="J970" s="7" t="s">
        <v>3383</v>
      </c>
      <c r="K970" s="1"/>
      <c r="L970" s="1" t="s">
        <v>3384</v>
      </c>
      <c r="M970" s="1"/>
      <c r="N970" s="1"/>
      <c r="O970" s="1" t="str">
        <f t="shared" si="1"/>
        <v> = 'B16009_005',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2" t="s">
        <v>10</v>
      </c>
      <c r="B971" s="1"/>
      <c r="C971" s="7" t="s">
        <v>1158</v>
      </c>
      <c r="D971" s="7" t="s">
        <v>1159</v>
      </c>
      <c r="E971" s="7" t="s">
        <v>3366</v>
      </c>
      <c r="F971" s="3" t="str">
        <f>IFERROR(__xludf.DUMMYFUNCTION("REGEXREPLACE(E971, ""[^A-Za-z0-9]"", """")"),"PovertyStatusinthePast12MonthsbyAgebyLanguageSpokenatHomeforthePopulation5YearsandOver")</f>
        <v>PovertyStatusinthePast12MonthsbyAgebyLanguageSpokenatHomeforthePopulation5YearsandOver</v>
      </c>
      <c r="G971" s="7"/>
      <c r="H971" s="7" t="s">
        <v>3385</v>
      </c>
      <c r="I971" s="1" t="s">
        <v>3386</v>
      </c>
      <c r="J971" s="7" t="s">
        <v>3387</v>
      </c>
      <c r="K971" s="1"/>
      <c r="L971" s="1" t="s">
        <v>3388</v>
      </c>
      <c r="M971" s="1"/>
      <c r="N971" s="1"/>
      <c r="O971" s="1" t="str">
        <f t="shared" si="1"/>
        <v> = 'B16009_006',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2" t="s">
        <v>10</v>
      </c>
      <c r="B972" s="1"/>
      <c r="C972" s="7" t="s">
        <v>1158</v>
      </c>
      <c r="D972" s="7" t="s">
        <v>1159</v>
      </c>
      <c r="E972" s="7" t="s">
        <v>3366</v>
      </c>
      <c r="F972" s="3" t="str">
        <f>IFERROR(__xludf.DUMMYFUNCTION("REGEXREPLACE(E972, ""[^A-Za-z0-9]"", """")"),"PovertyStatusinthePast12MonthsbyAgebyLanguageSpokenatHomeforthePopulation5YearsandOver")</f>
        <v>PovertyStatusinthePast12MonthsbyAgebyLanguageSpokenatHomeforthePopulation5YearsandOver</v>
      </c>
      <c r="G972" s="7"/>
      <c r="H972" s="7" t="s">
        <v>3389</v>
      </c>
      <c r="I972" s="1" t="s">
        <v>3390</v>
      </c>
      <c r="J972" s="7" t="s">
        <v>3391</v>
      </c>
      <c r="K972" s="1"/>
      <c r="L972" s="1" t="s">
        <v>3392</v>
      </c>
      <c r="M972" s="1"/>
      <c r="N972" s="1"/>
      <c r="O972" s="1" t="str">
        <f t="shared" si="1"/>
        <v> = 'B16009_007',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2" t="s">
        <v>10</v>
      </c>
      <c r="B973" s="1"/>
      <c r="C973" s="7" t="s">
        <v>1158</v>
      </c>
      <c r="D973" s="7" t="s">
        <v>1159</v>
      </c>
      <c r="E973" s="7" t="s">
        <v>3366</v>
      </c>
      <c r="F973" s="3" t="str">
        <f>IFERROR(__xludf.DUMMYFUNCTION("REGEXREPLACE(E973, ""[^A-Za-z0-9]"", """")"),"PovertyStatusinthePast12MonthsbyAgebyLanguageSpokenatHomeforthePopulation5YearsandOver")</f>
        <v>PovertyStatusinthePast12MonthsbyAgebyLanguageSpokenatHomeforthePopulation5YearsandOver</v>
      </c>
      <c r="G973" s="7"/>
      <c r="H973" s="7" t="s">
        <v>3393</v>
      </c>
      <c r="I973" s="1" t="s">
        <v>3394</v>
      </c>
      <c r="J973" s="7" t="s">
        <v>3395</v>
      </c>
      <c r="K973" s="1"/>
      <c r="L973" s="1" t="s">
        <v>3396</v>
      </c>
      <c r="M973" s="1"/>
      <c r="N973" s="1"/>
      <c r="O973" s="1" t="str">
        <f t="shared" si="1"/>
        <v> = 'B16009_008',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2" t="s">
        <v>10</v>
      </c>
      <c r="B974" s="1"/>
      <c r="C974" s="7" t="s">
        <v>1158</v>
      </c>
      <c r="D974" s="7" t="s">
        <v>1159</v>
      </c>
      <c r="E974" s="7" t="s">
        <v>3366</v>
      </c>
      <c r="F974" s="3" t="str">
        <f>IFERROR(__xludf.DUMMYFUNCTION("REGEXREPLACE(E974, ""[^A-Za-z0-9]"", """")"),"PovertyStatusinthePast12MonthsbyAgebyLanguageSpokenatHomeforthePopulation5YearsandOver")</f>
        <v>PovertyStatusinthePast12MonthsbyAgebyLanguageSpokenatHomeforthePopulation5YearsandOver</v>
      </c>
      <c r="G974" s="7"/>
      <c r="H974" s="7" t="s">
        <v>3397</v>
      </c>
      <c r="I974" s="1" t="s">
        <v>3398</v>
      </c>
      <c r="J974" s="7" t="s">
        <v>3399</v>
      </c>
      <c r="K974" s="1"/>
      <c r="L974" s="1" t="s">
        <v>3400</v>
      </c>
      <c r="M974" s="1"/>
      <c r="N974" s="1"/>
      <c r="O974" s="1" t="str">
        <f t="shared" si="1"/>
        <v> = 'B16009_009',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2" t="s">
        <v>10</v>
      </c>
      <c r="B975" s="1"/>
      <c r="C975" s="7" t="s">
        <v>1158</v>
      </c>
      <c r="D975" s="7" t="s">
        <v>1159</v>
      </c>
      <c r="E975" s="7" t="s">
        <v>3366</v>
      </c>
      <c r="F975" s="3" t="str">
        <f>IFERROR(__xludf.DUMMYFUNCTION("REGEXREPLACE(E975, ""[^A-Za-z0-9]"", """")"),"PovertyStatusinthePast12MonthsbyAgebyLanguageSpokenatHomeforthePopulation5YearsandOver")</f>
        <v>PovertyStatusinthePast12MonthsbyAgebyLanguageSpokenatHomeforthePopulation5YearsandOver</v>
      </c>
      <c r="G975" s="7"/>
      <c r="H975" s="7" t="s">
        <v>3401</v>
      </c>
      <c r="I975" s="1" t="s">
        <v>3402</v>
      </c>
      <c r="J975" s="7" t="s">
        <v>3403</v>
      </c>
      <c r="K975" s="1"/>
      <c r="L975" s="1" t="s">
        <v>3404</v>
      </c>
      <c r="M975" s="1"/>
      <c r="N975" s="1"/>
      <c r="O975" s="1" t="str">
        <f t="shared" si="1"/>
        <v> = 'B16009_010',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2" t="s">
        <v>10</v>
      </c>
      <c r="B976" s="1"/>
      <c r="C976" s="7" t="s">
        <v>1158</v>
      </c>
      <c r="D976" s="7" t="s">
        <v>1159</v>
      </c>
      <c r="E976" s="7" t="s">
        <v>3366</v>
      </c>
      <c r="F976" s="3" t="str">
        <f>IFERROR(__xludf.DUMMYFUNCTION("REGEXREPLACE(E976, ""[^A-Za-z0-9]"", """")"),"PovertyStatusinthePast12MonthsbyAgebyLanguageSpokenatHomeforthePopulation5YearsandOver")</f>
        <v>PovertyStatusinthePast12MonthsbyAgebyLanguageSpokenatHomeforthePopulation5YearsandOver</v>
      </c>
      <c r="G976" s="7"/>
      <c r="H976" s="7" t="s">
        <v>3405</v>
      </c>
      <c r="I976" s="1" t="s">
        <v>3406</v>
      </c>
      <c r="J976" s="7" t="s">
        <v>3407</v>
      </c>
      <c r="K976" s="1"/>
      <c r="L976" s="1" t="s">
        <v>3408</v>
      </c>
      <c r="M976" s="1"/>
      <c r="N976" s="1"/>
      <c r="O976" s="1" t="str">
        <f t="shared" si="1"/>
        <v> = 'B16009_011',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2" t="s">
        <v>10</v>
      </c>
      <c r="B977" s="1"/>
      <c r="C977" s="7" t="s">
        <v>1158</v>
      </c>
      <c r="D977" s="7" t="s">
        <v>1159</v>
      </c>
      <c r="E977" s="7" t="s">
        <v>3366</v>
      </c>
      <c r="F977" s="3" t="str">
        <f>IFERROR(__xludf.DUMMYFUNCTION("REGEXREPLACE(E977, ""[^A-Za-z0-9]"", """")"),"PovertyStatusinthePast12MonthsbyAgebyLanguageSpokenatHomeforthePopulation5YearsandOver")</f>
        <v>PovertyStatusinthePast12MonthsbyAgebyLanguageSpokenatHomeforthePopulation5YearsandOver</v>
      </c>
      <c r="G977" s="7"/>
      <c r="H977" s="7" t="s">
        <v>3409</v>
      </c>
      <c r="I977" s="1" t="s">
        <v>3410</v>
      </c>
      <c r="J977" s="7" t="s">
        <v>3411</v>
      </c>
      <c r="K977" s="1"/>
      <c r="L977" s="1" t="s">
        <v>3412</v>
      </c>
      <c r="M977" s="1"/>
      <c r="N977" s="1"/>
      <c r="O977" s="1" t="str">
        <f t="shared" si="1"/>
        <v> = 'B16009_012',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2" t="s">
        <v>10</v>
      </c>
      <c r="B978" s="1"/>
      <c r="C978" s="7" t="s">
        <v>1158</v>
      </c>
      <c r="D978" s="7" t="s">
        <v>1159</v>
      </c>
      <c r="E978" s="7" t="s">
        <v>3366</v>
      </c>
      <c r="F978" s="3" t="str">
        <f>IFERROR(__xludf.DUMMYFUNCTION("REGEXREPLACE(E978, ""[^A-Za-z0-9]"", """")"),"PovertyStatusinthePast12MonthsbyAgebyLanguageSpokenatHomeforthePopulation5YearsandOver")</f>
        <v>PovertyStatusinthePast12MonthsbyAgebyLanguageSpokenatHomeforthePopulation5YearsandOver</v>
      </c>
      <c r="G978" s="7"/>
      <c r="H978" s="7" t="s">
        <v>3413</v>
      </c>
      <c r="I978" s="1" t="s">
        <v>3414</v>
      </c>
      <c r="J978" s="7" t="s">
        <v>3415</v>
      </c>
      <c r="K978" s="1"/>
      <c r="L978" s="1" t="s">
        <v>3416</v>
      </c>
      <c r="M978" s="1"/>
      <c r="N978" s="1"/>
      <c r="O978" s="1" t="str">
        <f t="shared" si="1"/>
        <v> = 'B16009_013',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2" t="s">
        <v>10</v>
      </c>
      <c r="B979" s="1"/>
      <c r="C979" s="7" t="s">
        <v>1158</v>
      </c>
      <c r="D979" s="7" t="s">
        <v>1159</v>
      </c>
      <c r="E979" s="7" t="s">
        <v>3366</v>
      </c>
      <c r="F979" s="3" t="str">
        <f>IFERROR(__xludf.DUMMYFUNCTION("REGEXREPLACE(E979, ""[^A-Za-z0-9]"", """")"),"PovertyStatusinthePast12MonthsbyAgebyLanguageSpokenatHomeforthePopulation5YearsandOver")</f>
        <v>PovertyStatusinthePast12MonthsbyAgebyLanguageSpokenatHomeforthePopulation5YearsandOver</v>
      </c>
      <c r="G979" s="7"/>
      <c r="H979" s="7" t="s">
        <v>3417</v>
      </c>
      <c r="I979" s="1" t="s">
        <v>3418</v>
      </c>
      <c r="J979" s="7" t="s">
        <v>3419</v>
      </c>
      <c r="K979" s="1"/>
      <c r="L979" s="1" t="s">
        <v>3420</v>
      </c>
      <c r="M979" s="1"/>
      <c r="N979" s="1"/>
      <c r="O979" s="1" t="str">
        <f t="shared" si="1"/>
        <v> = 'B16009_014',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2" t="s">
        <v>10</v>
      </c>
      <c r="B980" s="1"/>
      <c r="C980" s="7" t="s">
        <v>1158</v>
      </c>
      <c r="D980" s="7" t="s">
        <v>1159</v>
      </c>
      <c r="E980" s="7" t="s">
        <v>3366</v>
      </c>
      <c r="F980" s="3" t="str">
        <f>IFERROR(__xludf.DUMMYFUNCTION("REGEXREPLACE(E980, ""[^A-Za-z0-9]"", """")"),"PovertyStatusinthePast12MonthsbyAgebyLanguageSpokenatHomeforthePopulation5YearsandOver")</f>
        <v>PovertyStatusinthePast12MonthsbyAgebyLanguageSpokenatHomeforthePopulation5YearsandOver</v>
      </c>
      <c r="G980" s="7"/>
      <c r="H980" s="7" t="s">
        <v>3421</v>
      </c>
      <c r="I980" s="1" t="s">
        <v>3422</v>
      </c>
      <c r="J980" s="7" t="s">
        <v>3423</v>
      </c>
      <c r="K980" s="1"/>
      <c r="L980" s="1" t="s">
        <v>3424</v>
      </c>
      <c r="M980" s="1"/>
      <c r="N980" s="1"/>
      <c r="O980" s="1" t="str">
        <f t="shared" si="1"/>
        <v> = 'B16009_015',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2" t="s">
        <v>10</v>
      </c>
      <c r="B981" s="1"/>
      <c r="C981" s="7" t="s">
        <v>1158</v>
      </c>
      <c r="D981" s="7" t="s">
        <v>1159</v>
      </c>
      <c r="E981" s="7" t="s">
        <v>3366</v>
      </c>
      <c r="F981" s="3" t="str">
        <f>IFERROR(__xludf.DUMMYFUNCTION("REGEXREPLACE(E981, ""[^A-Za-z0-9]"", """")"),"PovertyStatusinthePast12MonthsbyAgebyLanguageSpokenatHomeforthePopulation5YearsandOver")</f>
        <v>PovertyStatusinthePast12MonthsbyAgebyLanguageSpokenatHomeforthePopulation5YearsandOver</v>
      </c>
      <c r="G981" s="7"/>
      <c r="H981" s="7" t="s">
        <v>3425</v>
      </c>
      <c r="I981" s="1" t="s">
        <v>3426</v>
      </c>
      <c r="J981" s="7" t="s">
        <v>3427</v>
      </c>
      <c r="K981" s="1"/>
      <c r="L981" s="1" t="s">
        <v>3428</v>
      </c>
      <c r="M981" s="1"/>
      <c r="N981" s="1"/>
      <c r="O981" s="1" t="str">
        <f t="shared" si="1"/>
        <v> = 'B16009_016',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2" t="s">
        <v>10</v>
      </c>
      <c r="B982" s="1"/>
      <c r="C982" s="7" t="s">
        <v>1158</v>
      </c>
      <c r="D982" s="7" t="s">
        <v>1159</v>
      </c>
      <c r="E982" s="7" t="s">
        <v>3366</v>
      </c>
      <c r="F982" s="3" t="str">
        <f>IFERROR(__xludf.DUMMYFUNCTION("REGEXREPLACE(E982, ""[^A-Za-z0-9]"", """")"),"PovertyStatusinthePast12MonthsbyAgebyLanguageSpokenatHomeforthePopulation5YearsandOver")</f>
        <v>PovertyStatusinthePast12MonthsbyAgebyLanguageSpokenatHomeforthePopulation5YearsandOver</v>
      </c>
      <c r="G982" s="7"/>
      <c r="H982" s="7" t="s">
        <v>3429</v>
      </c>
      <c r="I982" s="1" t="s">
        <v>3430</v>
      </c>
      <c r="J982" s="7" t="s">
        <v>3431</v>
      </c>
      <c r="K982" s="1"/>
      <c r="L982" s="1" t="s">
        <v>3432</v>
      </c>
      <c r="M982" s="1"/>
      <c r="N982" s="1"/>
      <c r="O982" s="1" t="str">
        <f t="shared" si="1"/>
        <v> = 'B16009_017',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2" t="s">
        <v>10</v>
      </c>
      <c r="B983" s="1"/>
      <c r="C983" s="7" t="s">
        <v>1158</v>
      </c>
      <c r="D983" s="7" t="s">
        <v>1159</v>
      </c>
      <c r="E983" s="7" t="s">
        <v>3366</v>
      </c>
      <c r="F983" s="3" t="str">
        <f>IFERROR(__xludf.DUMMYFUNCTION("REGEXREPLACE(E983, ""[^A-Za-z0-9]"", """")"),"PovertyStatusinthePast12MonthsbyAgebyLanguageSpokenatHomeforthePopulation5YearsandOver")</f>
        <v>PovertyStatusinthePast12MonthsbyAgebyLanguageSpokenatHomeforthePopulation5YearsandOver</v>
      </c>
      <c r="G983" s="7"/>
      <c r="H983" s="7" t="s">
        <v>3433</v>
      </c>
      <c r="I983" s="1" t="s">
        <v>3434</v>
      </c>
      <c r="J983" s="7" t="s">
        <v>3435</v>
      </c>
      <c r="K983" s="1"/>
      <c r="L983" s="1" t="s">
        <v>3436</v>
      </c>
      <c r="M983" s="1"/>
      <c r="N983" s="1"/>
      <c r="O983" s="1" t="str">
        <f t="shared" si="1"/>
        <v> = 'B16009_018',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2" t="s">
        <v>10</v>
      </c>
      <c r="B984" s="1"/>
      <c r="C984" s="7" t="s">
        <v>1158</v>
      </c>
      <c r="D984" s="7" t="s">
        <v>1159</v>
      </c>
      <c r="E984" s="7" t="s">
        <v>3366</v>
      </c>
      <c r="F984" s="3" t="str">
        <f>IFERROR(__xludf.DUMMYFUNCTION("REGEXREPLACE(E984, ""[^A-Za-z0-9]"", """")"),"PovertyStatusinthePast12MonthsbyAgebyLanguageSpokenatHomeforthePopulation5YearsandOver")</f>
        <v>PovertyStatusinthePast12MonthsbyAgebyLanguageSpokenatHomeforthePopulation5YearsandOver</v>
      </c>
      <c r="G984" s="7"/>
      <c r="H984" s="7" t="s">
        <v>3437</v>
      </c>
      <c r="I984" s="1" t="s">
        <v>3438</v>
      </c>
      <c r="J984" s="7" t="s">
        <v>3439</v>
      </c>
      <c r="K984" s="1"/>
      <c r="L984" s="1" t="s">
        <v>3440</v>
      </c>
      <c r="M984" s="1"/>
      <c r="N984" s="1"/>
      <c r="O984" s="1" t="str">
        <f t="shared" si="1"/>
        <v> = 'B16009_019',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2" t="s">
        <v>10</v>
      </c>
      <c r="B985" s="1"/>
      <c r="C985" s="7" t="s">
        <v>1158</v>
      </c>
      <c r="D985" s="7" t="s">
        <v>1159</v>
      </c>
      <c r="E985" s="7" t="s">
        <v>3366</v>
      </c>
      <c r="F985" s="3" t="str">
        <f>IFERROR(__xludf.DUMMYFUNCTION("REGEXREPLACE(E985, ""[^A-Za-z0-9]"", """")"),"PovertyStatusinthePast12MonthsbyAgebyLanguageSpokenatHomeforthePopulation5YearsandOver")</f>
        <v>PovertyStatusinthePast12MonthsbyAgebyLanguageSpokenatHomeforthePopulation5YearsandOver</v>
      </c>
      <c r="G985" s="7"/>
      <c r="H985" s="7" t="s">
        <v>3441</v>
      </c>
      <c r="I985" s="1" t="s">
        <v>3442</v>
      </c>
      <c r="J985" s="7" t="s">
        <v>3443</v>
      </c>
      <c r="K985" s="1"/>
      <c r="L985" s="1" t="s">
        <v>3444</v>
      </c>
      <c r="M985" s="1"/>
      <c r="N985" s="1"/>
      <c r="O985" s="1" t="str">
        <f t="shared" si="1"/>
        <v> = 'B16009_020',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2" t="s">
        <v>10</v>
      </c>
      <c r="B986" s="1"/>
      <c r="C986" s="7" t="s">
        <v>1158</v>
      </c>
      <c r="D986" s="7" t="s">
        <v>1159</v>
      </c>
      <c r="E986" s="7" t="s">
        <v>3366</v>
      </c>
      <c r="F986" s="3" t="str">
        <f>IFERROR(__xludf.DUMMYFUNCTION("REGEXREPLACE(E986, ""[^A-Za-z0-9]"", """")"),"PovertyStatusinthePast12MonthsbyAgebyLanguageSpokenatHomeforthePopulation5YearsandOver")</f>
        <v>PovertyStatusinthePast12MonthsbyAgebyLanguageSpokenatHomeforthePopulation5YearsandOver</v>
      </c>
      <c r="G986" s="7"/>
      <c r="H986" s="7" t="s">
        <v>3445</v>
      </c>
      <c r="I986" s="1" t="s">
        <v>3446</v>
      </c>
      <c r="J986" s="7" t="s">
        <v>3447</v>
      </c>
      <c r="K986" s="1"/>
      <c r="L986" s="1" t="s">
        <v>3448</v>
      </c>
      <c r="M986" s="1"/>
      <c r="N986" s="1"/>
      <c r="O986" s="1" t="str">
        <f t="shared" si="1"/>
        <v> = 'B16009_021',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2" t="s">
        <v>10</v>
      </c>
      <c r="B987" s="1"/>
      <c r="C987" s="7" t="s">
        <v>1158</v>
      </c>
      <c r="D987" s="7" t="s">
        <v>1159</v>
      </c>
      <c r="E987" s="7" t="s">
        <v>3366</v>
      </c>
      <c r="F987" s="3" t="str">
        <f>IFERROR(__xludf.DUMMYFUNCTION("REGEXREPLACE(E987, ""[^A-Za-z0-9]"", """")"),"PovertyStatusinthePast12MonthsbyAgebyLanguageSpokenatHomeforthePopulation5YearsandOver")</f>
        <v>PovertyStatusinthePast12MonthsbyAgebyLanguageSpokenatHomeforthePopulation5YearsandOver</v>
      </c>
      <c r="G987" s="7"/>
      <c r="H987" s="7" t="s">
        <v>3449</v>
      </c>
      <c r="I987" s="1" t="s">
        <v>3450</v>
      </c>
      <c r="J987" s="7" t="s">
        <v>3451</v>
      </c>
      <c r="K987" s="1"/>
      <c r="L987" s="1" t="s">
        <v>3452</v>
      </c>
      <c r="M987" s="1"/>
      <c r="N987" s="1"/>
      <c r="O987" s="1" t="str">
        <f t="shared" si="1"/>
        <v> = 'B16009_022',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2" t="s">
        <v>10</v>
      </c>
      <c r="B988" s="1"/>
      <c r="C988" s="7" t="s">
        <v>1158</v>
      </c>
      <c r="D988" s="7" t="s">
        <v>1159</v>
      </c>
      <c r="E988" s="7" t="s">
        <v>3366</v>
      </c>
      <c r="F988" s="3" t="str">
        <f>IFERROR(__xludf.DUMMYFUNCTION("REGEXREPLACE(E988, ""[^A-Za-z0-9]"", """")"),"PovertyStatusinthePast12MonthsbyAgebyLanguageSpokenatHomeforthePopulation5YearsandOver")</f>
        <v>PovertyStatusinthePast12MonthsbyAgebyLanguageSpokenatHomeforthePopulation5YearsandOver</v>
      </c>
      <c r="G988" s="7"/>
      <c r="H988" s="7" t="s">
        <v>3453</v>
      </c>
      <c r="I988" s="1" t="s">
        <v>3454</v>
      </c>
      <c r="J988" s="7" t="s">
        <v>3455</v>
      </c>
      <c r="K988" s="1"/>
      <c r="L988" s="1" t="s">
        <v>3456</v>
      </c>
      <c r="M988" s="1"/>
      <c r="N988" s="1"/>
      <c r="O988" s="1" t="str">
        <f t="shared" si="1"/>
        <v> = 'B16009_023',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2" t="s">
        <v>10</v>
      </c>
      <c r="B989" s="1"/>
      <c r="C989" s="7" t="s">
        <v>1158</v>
      </c>
      <c r="D989" s="7" t="s">
        <v>1159</v>
      </c>
      <c r="E989" s="7" t="s">
        <v>3366</v>
      </c>
      <c r="F989" s="3" t="str">
        <f>IFERROR(__xludf.DUMMYFUNCTION("REGEXREPLACE(E989, ""[^A-Za-z0-9]"", """")"),"PovertyStatusinthePast12MonthsbyAgebyLanguageSpokenatHomeforthePopulation5YearsandOver")</f>
        <v>PovertyStatusinthePast12MonthsbyAgebyLanguageSpokenatHomeforthePopulation5YearsandOver</v>
      </c>
      <c r="G989" s="7"/>
      <c r="H989" s="7" t="s">
        <v>3457</v>
      </c>
      <c r="I989" s="1" t="s">
        <v>3458</v>
      </c>
      <c r="J989" s="7" t="s">
        <v>3459</v>
      </c>
      <c r="K989" s="1"/>
      <c r="L989" s="1" t="s">
        <v>3460</v>
      </c>
      <c r="M989" s="1"/>
      <c r="N989" s="1"/>
      <c r="O989" s="1" t="str">
        <f t="shared" si="1"/>
        <v> = 'B16009_024',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2" t="s">
        <v>10</v>
      </c>
      <c r="B990" s="1"/>
      <c r="C990" s="7" t="s">
        <v>1158</v>
      </c>
      <c r="D990" s="7" t="s">
        <v>1159</v>
      </c>
      <c r="E990" s="7" t="s">
        <v>3366</v>
      </c>
      <c r="F990" s="3" t="str">
        <f>IFERROR(__xludf.DUMMYFUNCTION("REGEXREPLACE(E990, ""[^A-Za-z0-9]"", """")"),"PovertyStatusinthePast12MonthsbyAgebyLanguageSpokenatHomeforthePopulation5YearsandOver")</f>
        <v>PovertyStatusinthePast12MonthsbyAgebyLanguageSpokenatHomeforthePopulation5YearsandOver</v>
      </c>
      <c r="G990" s="7"/>
      <c r="H990" s="7" t="s">
        <v>3461</v>
      </c>
      <c r="I990" s="1" t="s">
        <v>3462</v>
      </c>
      <c r="J990" s="7" t="s">
        <v>3463</v>
      </c>
      <c r="K990" s="1"/>
      <c r="L990" s="1" t="s">
        <v>3464</v>
      </c>
      <c r="M990" s="1"/>
      <c r="N990" s="1"/>
      <c r="O990" s="1" t="str">
        <f t="shared" si="1"/>
        <v> = 'B16009_025',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2" t="s">
        <v>10</v>
      </c>
      <c r="B991" s="1"/>
      <c r="C991" s="7" t="s">
        <v>1158</v>
      </c>
      <c r="D991" s="7" t="s">
        <v>1159</v>
      </c>
      <c r="E991" s="7" t="s">
        <v>3366</v>
      </c>
      <c r="F991" s="3" t="str">
        <f>IFERROR(__xludf.DUMMYFUNCTION("REGEXREPLACE(E991, ""[^A-Za-z0-9]"", """")"),"PovertyStatusinthePast12MonthsbyAgebyLanguageSpokenatHomeforthePopulation5YearsandOver")</f>
        <v>PovertyStatusinthePast12MonthsbyAgebyLanguageSpokenatHomeforthePopulation5YearsandOver</v>
      </c>
      <c r="G991" s="7"/>
      <c r="H991" s="7" t="s">
        <v>3465</v>
      </c>
      <c r="I991" s="1" t="s">
        <v>3466</v>
      </c>
      <c r="J991" s="7" t="s">
        <v>3467</v>
      </c>
      <c r="K991" s="1"/>
      <c r="L991" s="1" t="s">
        <v>3468</v>
      </c>
      <c r="M991" s="1"/>
      <c r="N991" s="1"/>
      <c r="O991" s="1" t="str">
        <f t="shared" si="1"/>
        <v> = 'B16009_026',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2" t="s">
        <v>10</v>
      </c>
      <c r="B992" s="1"/>
      <c r="C992" s="7" t="s">
        <v>1158</v>
      </c>
      <c r="D992" s="7" t="s">
        <v>1159</v>
      </c>
      <c r="E992" s="7" t="s">
        <v>3366</v>
      </c>
      <c r="F992" s="3" t="str">
        <f>IFERROR(__xludf.DUMMYFUNCTION("REGEXREPLACE(E992, ""[^A-Za-z0-9]"", """")"),"PovertyStatusinthePast12MonthsbyAgebyLanguageSpokenatHomeforthePopulation5YearsandOver")</f>
        <v>PovertyStatusinthePast12MonthsbyAgebyLanguageSpokenatHomeforthePopulation5YearsandOver</v>
      </c>
      <c r="G992" s="7"/>
      <c r="H992" s="7" t="s">
        <v>3469</v>
      </c>
      <c r="I992" s="1" t="s">
        <v>3470</v>
      </c>
      <c r="J992" s="7" t="s">
        <v>3471</v>
      </c>
      <c r="K992" s="1"/>
      <c r="L992" s="1" t="s">
        <v>3472</v>
      </c>
      <c r="M992" s="1"/>
      <c r="N992" s="1"/>
      <c r="O992" s="1" t="str">
        <f t="shared" si="1"/>
        <v> = 'B16009_027',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2" t="s">
        <v>10</v>
      </c>
      <c r="B993" s="1"/>
      <c r="C993" s="7" t="s">
        <v>1158</v>
      </c>
      <c r="D993" s="7" t="s">
        <v>1159</v>
      </c>
      <c r="E993" s="7" t="s">
        <v>3473</v>
      </c>
      <c r="F993" s="3" t="str">
        <f>IFERROR(__xludf.DUMMYFUNCTION("REGEXREPLACE(E993, ""[^A-Za-z0-9]"", """")"),"EducationalAttainmentandEmploymentStatusbyLanguageSpokenatHomeforthePopulation25YearsandOver")</f>
        <v>EducationalAttainmentandEmploymentStatusbyLanguageSpokenatHomeforthePopulation25YearsandOver</v>
      </c>
      <c r="G993" s="7"/>
      <c r="H993" s="7" t="s">
        <v>16</v>
      </c>
      <c r="I993" s="1" t="s">
        <v>3474</v>
      </c>
      <c r="J993" s="7" t="s">
        <v>3475</v>
      </c>
      <c r="K993" s="1"/>
      <c r="L993" s="1" t="s">
        <v>20</v>
      </c>
      <c r="M993" s="1"/>
      <c r="N993" s="1"/>
      <c r="O993" s="1" t="str">
        <f t="shared" si="1"/>
        <v> = 'B16010_001',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2" t="s">
        <v>10</v>
      </c>
      <c r="B994" s="1"/>
      <c r="C994" s="7" t="s">
        <v>1158</v>
      </c>
      <c r="D994" s="7" t="s">
        <v>1159</v>
      </c>
      <c r="E994" s="7" t="s">
        <v>3473</v>
      </c>
      <c r="F994" s="3" t="str">
        <f>IFERROR(__xludf.DUMMYFUNCTION("REGEXREPLACE(E994, ""[^A-Za-z0-9]"", """")"),"EducationalAttainmentandEmploymentStatusbyLanguageSpokenatHomeforthePopulation25YearsandOver")</f>
        <v>EducationalAttainmentandEmploymentStatusbyLanguageSpokenatHomeforthePopulation25YearsandOver</v>
      </c>
      <c r="G994" s="7"/>
      <c r="H994" s="7" t="s">
        <v>3476</v>
      </c>
      <c r="I994" s="1" t="s">
        <v>3477</v>
      </c>
      <c r="J994" s="7" t="s">
        <v>3478</v>
      </c>
      <c r="K994" s="1"/>
      <c r="L994" s="1" t="s">
        <v>3479</v>
      </c>
      <c r="M994" s="1"/>
      <c r="N994" s="1"/>
      <c r="O994" s="1" t="str">
        <f t="shared" si="1"/>
        <v> = 'B16010_002',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2" t="s">
        <v>10</v>
      </c>
      <c r="B995" s="1"/>
      <c r="C995" s="7" t="s">
        <v>1158</v>
      </c>
      <c r="D995" s="7" t="s">
        <v>1159</v>
      </c>
      <c r="E995" s="7" t="s">
        <v>3473</v>
      </c>
      <c r="F995" s="3" t="str">
        <f>IFERROR(__xludf.DUMMYFUNCTION("REGEXREPLACE(E995, ""[^A-Za-z0-9]"", """")"),"EducationalAttainmentandEmploymentStatusbyLanguageSpokenatHomeforthePopulation25YearsandOver")</f>
        <v>EducationalAttainmentandEmploymentStatusbyLanguageSpokenatHomeforthePopulation25YearsandOver</v>
      </c>
      <c r="G995" s="7"/>
      <c r="H995" s="7" t="s">
        <v>3480</v>
      </c>
      <c r="I995" s="1" t="s">
        <v>3481</v>
      </c>
      <c r="J995" s="7" t="s">
        <v>3482</v>
      </c>
      <c r="K995" s="1"/>
      <c r="L995" s="1" t="s">
        <v>3483</v>
      </c>
      <c r="M995" s="1"/>
      <c r="N995" s="1"/>
      <c r="O995" s="1" t="str">
        <f t="shared" si="1"/>
        <v> = 'B16010_003',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2" t="s">
        <v>10</v>
      </c>
      <c r="B996" s="1"/>
      <c r="C996" s="7" t="s">
        <v>1158</v>
      </c>
      <c r="D996" s="7" t="s">
        <v>1159</v>
      </c>
      <c r="E996" s="7" t="s">
        <v>3473</v>
      </c>
      <c r="F996" s="3" t="str">
        <f>IFERROR(__xludf.DUMMYFUNCTION("REGEXREPLACE(E996, ""[^A-Za-z0-9]"", """")"),"EducationalAttainmentandEmploymentStatusbyLanguageSpokenatHomeforthePopulation25YearsandOver")</f>
        <v>EducationalAttainmentandEmploymentStatusbyLanguageSpokenatHomeforthePopulation25YearsandOver</v>
      </c>
      <c r="G996" s="7"/>
      <c r="H996" s="7" t="s">
        <v>3484</v>
      </c>
      <c r="I996" s="1" t="s">
        <v>3485</v>
      </c>
      <c r="J996" s="7" t="s">
        <v>3486</v>
      </c>
      <c r="K996" s="1"/>
      <c r="L996" s="1" t="s">
        <v>3487</v>
      </c>
      <c r="M996" s="1"/>
      <c r="N996" s="1"/>
      <c r="O996" s="1" t="str">
        <f t="shared" si="1"/>
        <v> = 'B16010_004',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2" t="s">
        <v>10</v>
      </c>
      <c r="B997" s="1"/>
      <c r="C997" s="7" t="s">
        <v>1158</v>
      </c>
      <c r="D997" s="7" t="s">
        <v>1159</v>
      </c>
      <c r="E997" s="7" t="s">
        <v>3473</v>
      </c>
      <c r="F997" s="3" t="str">
        <f>IFERROR(__xludf.DUMMYFUNCTION("REGEXREPLACE(E997, ""[^A-Za-z0-9]"", """")"),"EducationalAttainmentandEmploymentStatusbyLanguageSpokenatHomeforthePopulation25YearsandOver")</f>
        <v>EducationalAttainmentandEmploymentStatusbyLanguageSpokenatHomeforthePopulation25YearsandOver</v>
      </c>
      <c r="G997" s="7"/>
      <c r="H997" s="7" t="s">
        <v>3488</v>
      </c>
      <c r="I997" s="1" t="s">
        <v>3489</v>
      </c>
      <c r="J997" s="7" t="s">
        <v>3490</v>
      </c>
      <c r="K997" s="1"/>
      <c r="L997" s="1" t="s">
        <v>3491</v>
      </c>
      <c r="M997" s="1"/>
      <c r="N997" s="1"/>
      <c r="O997" s="1" t="str">
        <f t="shared" si="1"/>
        <v> = 'B16010_005',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2" t="s">
        <v>10</v>
      </c>
      <c r="B998" s="1"/>
      <c r="C998" s="7" t="s">
        <v>1158</v>
      </c>
      <c r="D998" s="7" t="s">
        <v>1159</v>
      </c>
      <c r="E998" s="7" t="s">
        <v>3473</v>
      </c>
      <c r="F998" s="3" t="str">
        <f>IFERROR(__xludf.DUMMYFUNCTION("REGEXREPLACE(E998, ""[^A-Za-z0-9]"", """")"),"EducationalAttainmentandEmploymentStatusbyLanguageSpokenatHomeforthePopulation25YearsandOver")</f>
        <v>EducationalAttainmentandEmploymentStatusbyLanguageSpokenatHomeforthePopulation25YearsandOver</v>
      </c>
      <c r="G998" s="7"/>
      <c r="H998" s="7" t="s">
        <v>3492</v>
      </c>
      <c r="I998" s="1" t="s">
        <v>3493</v>
      </c>
      <c r="J998" s="7" t="s">
        <v>3494</v>
      </c>
      <c r="K998" s="1"/>
      <c r="L998" s="1" t="s">
        <v>3495</v>
      </c>
      <c r="M998" s="1"/>
      <c r="N998" s="1"/>
      <c r="O998" s="1" t="str">
        <f t="shared" si="1"/>
        <v> = 'B16010_006',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2" t="s">
        <v>10</v>
      </c>
      <c r="B999" s="1"/>
      <c r="C999" s="7" t="s">
        <v>1158</v>
      </c>
      <c r="D999" s="7" t="s">
        <v>1159</v>
      </c>
      <c r="E999" s="7" t="s">
        <v>3473</v>
      </c>
      <c r="F999" s="3" t="str">
        <f>IFERROR(__xludf.DUMMYFUNCTION("REGEXREPLACE(E999, ""[^A-Za-z0-9]"", """")"),"EducationalAttainmentandEmploymentStatusbyLanguageSpokenatHomeforthePopulation25YearsandOver")</f>
        <v>EducationalAttainmentandEmploymentStatusbyLanguageSpokenatHomeforthePopulation25YearsandOver</v>
      </c>
      <c r="G999" s="7"/>
      <c r="H999" s="7" t="s">
        <v>3496</v>
      </c>
      <c r="I999" s="1" t="s">
        <v>3497</v>
      </c>
      <c r="J999" s="7" t="s">
        <v>3498</v>
      </c>
      <c r="K999" s="1"/>
      <c r="L999" s="1" t="s">
        <v>3499</v>
      </c>
      <c r="M999" s="1"/>
      <c r="N999" s="1"/>
      <c r="O999" s="1" t="str">
        <f t="shared" si="1"/>
        <v> = 'B16010_007',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2" t="s">
        <v>10</v>
      </c>
      <c r="B1000" s="1"/>
      <c r="C1000" s="7" t="s">
        <v>1158</v>
      </c>
      <c r="D1000" s="7" t="s">
        <v>1159</v>
      </c>
      <c r="E1000" s="7" t="s">
        <v>3473</v>
      </c>
      <c r="F1000" s="3" t="str">
        <f>IFERROR(__xludf.DUMMYFUNCTION("REGEXREPLACE(E1000, ""[^A-Za-z0-9]"", """")"),"EducationalAttainmentandEmploymentStatusbyLanguageSpokenatHomeforthePopulation25YearsandOver")</f>
        <v>EducationalAttainmentandEmploymentStatusbyLanguageSpokenatHomeforthePopulation25YearsandOver</v>
      </c>
      <c r="G1000" s="7"/>
      <c r="H1000" s="7" t="s">
        <v>3500</v>
      </c>
      <c r="I1000" s="1" t="s">
        <v>3501</v>
      </c>
      <c r="J1000" s="7" t="s">
        <v>3502</v>
      </c>
      <c r="K1000" s="1"/>
      <c r="L1000" s="1" t="s">
        <v>3503</v>
      </c>
      <c r="M1000" s="1"/>
      <c r="N1000" s="1"/>
      <c r="O1000" s="1" t="str">
        <f t="shared" si="1"/>
        <v> = 'B16010_008',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2" t="s">
        <v>10</v>
      </c>
      <c r="B1001" s="1"/>
      <c r="C1001" s="7" t="s">
        <v>1158</v>
      </c>
      <c r="D1001" s="7" t="s">
        <v>1159</v>
      </c>
      <c r="E1001" s="7" t="s">
        <v>3473</v>
      </c>
      <c r="F1001" s="3" t="str">
        <f>IFERROR(__xludf.DUMMYFUNCTION("REGEXREPLACE(E1001, ""[^A-Za-z0-9]"", """")"),"EducationalAttainmentandEmploymentStatusbyLanguageSpokenatHomeforthePopulation25YearsandOver")</f>
        <v>EducationalAttainmentandEmploymentStatusbyLanguageSpokenatHomeforthePopulation25YearsandOver</v>
      </c>
      <c r="G1001" s="7"/>
      <c r="H1001" s="7" t="s">
        <v>3504</v>
      </c>
      <c r="I1001" s="1" t="s">
        <v>3505</v>
      </c>
      <c r="J1001" s="7" t="s">
        <v>3506</v>
      </c>
      <c r="K1001" s="1"/>
      <c r="L1001" s="1" t="s">
        <v>3507</v>
      </c>
      <c r="M1001" s="1"/>
      <c r="N1001" s="1"/>
      <c r="O1001" s="1" t="str">
        <f t="shared" si="1"/>
        <v> = 'B16010_009',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2" t="s">
        <v>10</v>
      </c>
      <c r="B1002" s="1"/>
      <c r="C1002" s="7" t="s">
        <v>1158</v>
      </c>
      <c r="D1002" s="7" t="s">
        <v>1159</v>
      </c>
      <c r="E1002" s="7" t="s">
        <v>3473</v>
      </c>
      <c r="F1002" s="3" t="str">
        <f>IFERROR(__xludf.DUMMYFUNCTION("REGEXREPLACE(E1002, ""[^A-Za-z0-9]"", """")"),"EducationalAttainmentandEmploymentStatusbyLanguageSpokenatHomeforthePopulation25YearsandOver")</f>
        <v>EducationalAttainmentandEmploymentStatusbyLanguageSpokenatHomeforthePopulation25YearsandOver</v>
      </c>
      <c r="G1002" s="7"/>
      <c r="H1002" s="7" t="s">
        <v>3508</v>
      </c>
      <c r="I1002" s="1" t="s">
        <v>3509</v>
      </c>
      <c r="J1002" s="7" t="s">
        <v>3510</v>
      </c>
      <c r="K1002" s="1"/>
      <c r="L1002" s="1" t="s">
        <v>3511</v>
      </c>
      <c r="M1002" s="1"/>
      <c r="N1002" s="1"/>
      <c r="O1002" s="1" t="str">
        <f t="shared" si="1"/>
        <v> = 'B16010_010',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2" t="s">
        <v>10</v>
      </c>
      <c r="B1003" s="1"/>
      <c r="C1003" s="7" t="s">
        <v>1158</v>
      </c>
      <c r="D1003" s="7" t="s">
        <v>1159</v>
      </c>
      <c r="E1003" s="7" t="s">
        <v>3473</v>
      </c>
      <c r="F1003" s="3" t="str">
        <f>IFERROR(__xludf.DUMMYFUNCTION("REGEXREPLACE(E1003, ""[^A-Za-z0-9]"", """")"),"EducationalAttainmentandEmploymentStatusbyLanguageSpokenatHomeforthePopulation25YearsandOver")</f>
        <v>EducationalAttainmentandEmploymentStatusbyLanguageSpokenatHomeforthePopulation25YearsandOver</v>
      </c>
      <c r="G1003" s="7"/>
      <c r="H1003" s="7" t="s">
        <v>3512</v>
      </c>
      <c r="I1003" s="1" t="s">
        <v>3513</v>
      </c>
      <c r="J1003" s="7" t="s">
        <v>3514</v>
      </c>
      <c r="K1003" s="1"/>
      <c r="L1003" s="1" t="s">
        <v>3515</v>
      </c>
      <c r="M1003" s="1"/>
      <c r="N1003" s="1"/>
      <c r="O1003" s="1" t="str">
        <f t="shared" si="1"/>
        <v> = 'B16010_011',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2" t="s">
        <v>10</v>
      </c>
      <c r="B1004" s="1"/>
      <c r="C1004" s="7" t="s">
        <v>1158</v>
      </c>
      <c r="D1004" s="7" t="s">
        <v>1159</v>
      </c>
      <c r="E1004" s="7" t="s">
        <v>3473</v>
      </c>
      <c r="F1004" s="3" t="str">
        <f>IFERROR(__xludf.DUMMYFUNCTION("REGEXREPLACE(E1004, ""[^A-Za-z0-9]"", """")"),"EducationalAttainmentandEmploymentStatusbyLanguageSpokenatHomeforthePopulation25YearsandOver")</f>
        <v>EducationalAttainmentandEmploymentStatusbyLanguageSpokenatHomeforthePopulation25YearsandOver</v>
      </c>
      <c r="G1004" s="7"/>
      <c r="H1004" s="7" t="s">
        <v>3516</v>
      </c>
      <c r="I1004" s="1" t="s">
        <v>3517</v>
      </c>
      <c r="J1004" s="7" t="s">
        <v>3518</v>
      </c>
      <c r="K1004" s="1"/>
      <c r="L1004" s="1" t="s">
        <v>3519</v>
      </c>
      <c r="M1004" s="1"/>
      <c r="N1004" s="1"/>
      <c r="O1004" s="1" t="str">
        <f t="shared" si="1"/>
        <v> = 'B16010_012',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2" t="s">
        <v>10</v>
      </c>
      <c r="B1005" s="1"/>
      <c r="C1005" s="7" t="s">
        <v>1158</v>
      </c>
      <c r="D1005" s="7" t="s">
        <v>1159</v>
      </c>
      <c r="E1005" s="7" t="s">
        <v>3473</v>
      </c>
      <c r="F1005" s="3" t="str">
        <f>IFERROR(__xludf.DUMMYFUNCTION("REGEXREPLACE(E1005, ""[^A-Za-z0-9]"", """")"),"EducationalAttainmentandEmploymentStatusbyLanguageSpokenatHomeforthePopulation25YearsandOver")</f>
        <v>EducationalAttainmentandEmploymentStatusbyLanguageSpokenatHomeforthePopulation25YearsandOver</v>
      </c>
      <c r="G1005" s="7"/>
      <c r="H1005" s="7" t="s">
        <v>3520</v>
      </c>
      <c r="I1005" s="1" t="s">
        <v>3521</v>
      </c>
      <c r="J1005" s="7" t="s">
        <v>3522</v>
      </c>
      <c r="K1005" s="1"/>
      <c r="L1005" s="1" t="s">
        <v>3523</v>
      </c>
      <c r="M1005" s="1"/>
      <c r="N1005" s="1"/>
      <c r="O1005" s="1" t="str">
        <f t="shared" si="1"/>
        <v> = 'B16010_013',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2" t="s">
        <v>10</v>
      </c>
      <c r="B1006" s="1"/>
      <c r="C1006" s="7" t="s">
        <v>1158</v>
      </c>
      <c r="D1006" s="7" t="s">
        <v>1159</v>
      </c>
      <c r="E1006" s="7" t="s">
        <v>3473</v>
      </c>
      <c r="F1006" s="3" t="str">
        <f>IFERROR(__xludf.DUMMYFUNCTION("REGEXREPLACE(E1006, ""[^A-Za-z0-9]"", """")"),"EducationalAttainmentandEmploymentStatusbyLanguageSpokenatHomeforthePopulation25YearsandOver")</f>
        <v>EducationalAttainmentandEmploymentStatusbyLanguageSpokenatHomeforthePopulation25YearsandOver</v>
      </c>
      <c r="G1006" s="7"/>
      <c r="H1006" s="7" t="s">
        <v>3524</v>
      </c>
      <c r="I1006" s="1" t="s">
        <v>3525</v>
      </c>
      <c r="J1006" s="7" t="s">
        <v>3526</v>
      </c>
      <c r="K1006" s="1"/>
      <c r="L1006" s="1" t="s">
        <v>3527</v>
      </c>
      <c r="M1006" s="1"/>
      <c r="N1006" s="1"/>
      <c r="O1006" s="1" t="str">
        <f t="shared" si="1"/>
        <v> = 'B16010_014',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2" t="s">
        <v>10</v>
      </c>
      <c r="B1007" s="1"/>
      <c r="C1007" s="7" t="s">
        <v>1158</v>
      </c>
      <c r="D1007" s="7" t="s">
        <v>1159</v>
      </c>
      <c r="E1007" s="7" t="s">
        <v>3473</v>
      </c>
      <c r="F1007" s="3" t="str">
        <f>IFERROR(__xludf.DUMMYFUNCTION("REGEXREPLACE(E1007, ""[^A-Za-z0-9]"", """")"),"EducationalAttainmentandEmploymentStatusbyLanguageSpokenatHomeforthePopulation25YearsandOver")</f>
        <v>EducationalAttainmentandEmploymentStatusbyLanguageSpokenatHomeforthePopulation25YearsandOver</v>
      </c>
      <c r="G1007" s="7"/>
      <c r="H1007" s="7" t="s">
        <v>3528</v>
      </c>
      <c r="I1007" s="1" t="s">
        <v>3529</v>
      </c>
      <c r="J1007" s="7" t="s">
        <v>3530</v>
      </c>
      <c r="K1007" s="1"/>
      <c r="L1007" s="1" t="s">
        <v>3531</v>
      </c>
      <c r="M1007" s="1"/>
      <c r="N1007" s="1"/>
      <c r="O1007" s="1" t="str">
        <f t="shared" si="1"/>
        <v> = 'B16010_015',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2" t="s">
        <v>10</v>
      </c>
      <c r="B1008" s="1"/>
      <c r="C1008" s="7" t="s">
        <v>1158</v>
      </c>
      <c r="D1008" s="7" t="s">
        <v>1159</v>
      </c>
      <c r="E1008" s="7" t="s">
        <v>3473</v>
      </c>
      <c r="F1008" s="3" t="str">
        <f>IFERROR(__xludf.DUMMYFUNCTION("REGEXREPLACE(E1008, ""[^A-Za-z0-9]"", """")"),"EducationalAttainmentandEmploymentStatusbyLanguageSpokenatHomeforthePopulation25YearsandOver")</f>
        <v>EducationalAttainmentandEmploymentStatusbyLanguageSpokenatHomeforthePopulation25YearsandOver</v>
      </c>
      <c r="G1008" s="7"/>
      <c r="H1008" s="7" t="s">
        <v>3532</v>
      </c>
      <c r="I1008" s="1" t="s">
        <v>3533</v>
      </c>
      <c r="J1008" s="7" t="s">
        <v>3534</v>
      </c>
      <c r="K1008" s="1"/>
      <c r="L1008" s="1" t="s">
        <v>3535</v>
      </c>
      <c r="M1008" s="1"/>
      <c r="N1008" s="1"/>
      <c r="O1008" s="1" t="str">
        <f t="shared" si="1"/>
        <v> = 'B16010_016',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2" t="s">
        <v>10</v>
      </c>
      <c r="B1009" s="1"/>
      <c r="C1009" s="7" t="s">
        <v>1158</v>
      </c>
      <c r="D1009" s="7" t="s">
        <v>1159</v>
      </c>
      <c r="E1009" s="7" t="s">
        <v>3473</v>
      </c>
      <c r="F1009" s="3" t="str">
        <f>IFERROR(__xludf.DUMMYFUNCTION("REGEXREPLACE(E1009, ""[^A-Za-z0-9]"", """")"),"EducationalAttainmentandEmploymentStatusbyLanguageSpokenatHomeforthePopulation25YearsandOver")</f>
        <v>EducationalAttainmentandEmploymentStatusbyLanguageSpokenatHomeforthePopulation25YearsandOver</v>
      </c>
      <c r="G1009" s="7"/>
      <c r="H1009" s="7" t="s">
        <v>3536</v>
      </c>
      <c r="I1009" s="1" t="s">
        <v>3537</v>
      </c>
      <c r="J1009" s="7" t="s">
        <v>3538</v>
      </c>
      <c r="K1009" s="1"/>
      <c r="L1009" s="1" t="s">
        <v>3539</v>
      </c>
      <c r="M1009" s="1"/>
      <c r="N1009" s="1"/>
      <c r="O1009" s="1" t="str">
        <f t="shared" si="1"/>
        <v> = 'B16010_017',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5.75" customHeight="1">
      <c r="A1010" s="2" t="s">
        <v>10</v>
      </c>
      <c r="B1010" s="1"/>
      <c r="C1010" s="7" t="s">
        <v>1158</v>
      </c>
      <c r="D1010" s="7" t="s">
        <v>1159</v>
      </c>
      <c r="E1010" s="7" t="s">
        <v>3473</v>
      </c>
      <c r="F1010" s="3" t="str">
        <f>IFERROR(__xludf.DUMMYFUNCTION("REGEXREPLACE(E1010, ""[^A-Za-z0-9]"", """")"),"EducationalAttainmentandEmploymentStatusbyLanguageSpokenatHomeforthePopulation25YearsandOver")</f>
        <v>EducationalAttainmentandEmploymentStatusbyLanguageSpokenatHomeforthePopulation25YearsandOver</v>
      </c>
      <c r="G1010" s="7"/>
      <c r="H1010" s="7" t="s">
        <v>3540</v>
      </c>
      <c r="I1010" s="1" t="s">
        <v>3541</v>
      </c>
      <c r="J1010" s="7" t="s">
        <v>3542</v>
      </c>
      <c r="K1010" s="1"/>
      <c r="L1010" s="1" t="s">
        <v>3543</v>
      </c>
      <c r="M1010" s="1"/>
      <c r="N1010" s="1"/>
      <c r="O1010" s="1" t="str">
        <f t="shared" si="1"/>
        <v> = 'B16010_018',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5.75" customHeight="1">
      <c r="A1011" s="2" t="s">
        <v>10</v>
      </c>
      <c r="B1011" s="1"/>
      <c r="C1011" s="7" t="s">
        <v>1158</v>
      </c>
      <c r="D1011" s="7" t="s">
        <v>1159</v>
      </c>
      <c r="E1011" s="7" t="s">
        <v>3473</v>
      </c>
      <c r="F1011" s="3" t="str">
        <f>IFERROR(__xludf.DUMMYFUNCTION("REGEXREPLACE(E1011, ""[^A-Za-z0-9]"", """")"),"EducationalAttainmentandEmploymentStatusbyLanguageSpokenatHomeforthePopulation25YearsandOver")</f>
        <v>EducationalAttainmentandEmploymentStatusbyLanguageSpokenatHomeforthePopulation25YearsandOver</v>
      </c>
      <c r="G1011" s="7"/>
      <c r="H1011" s="7" t="s">
        <v>3544</v>
      </c>
      <c r="I1011" s="1" t="s">
        <v>3545</v>
      </c>
      <c r="J1011" s="7" t="s">
        <v>3546</v>
      </c>
      <c r="K1011" s="1"/>
      <c r="L1011" s="1" t="s">
        <v>3547</v>
      </c>
      <c r="M1011" s="1"/>
      <c r="N1011" s="1"/>
      <c r="O1011" s="1" t="str">
        <f t="shared" si="1"/>
        <v> = 'B16010_019',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5.75" customHeight="1">
      <c r="A1012" s="2" t="s">
        <v>10</v>
      </c>
      <c r="B1012" s="1"/>
      <c r="C1012" s="7" t="s">
        <v>1158</v>
      </c>
      <c r="D1012" s="7" t="s">
        <v>1159</v>
      </c>
      <c r="E1012" s="7" t="s">
        <v>3473</v>
      </c>
      <c r="F1012" s="3" t="str">
        <f>IFERROR(__xludf.DUMMYFUNCTION("REGEXREPLACE(E1012, ""[^A-Za-z0-9]"", """")"),"EducationalAttainmentandEmploymentStatusbyLanguageSpokenatHomeforthePopulation25YearsandOver")</f>
        <v>EducationalAttainmentandEmploymentStatusbyLanguageSpokenatHomeforthePopulation25YearsandOver</v>
      </c>
      <c r="G1012" s="7"/>
      <c r="H1012" s="7" t="s">
        <v>3548</v>
      </c>
      <c r="I1012" s="1" t="s">
        <v>3549</v>
      </c>
      <c r="J1012" s="7" t="s">
        <v>3550</v>
      </c>
      <c r="K1012" s="1"/>
      <c r="L1012" s="1" t="s">
        <v>3551</v>
      </c>
      <c r="M1012" s="1"/>
      <c r="N1012" s="1"/>
      <c r="O1012" s="1" t="str">
        <f t="shared" si="1"/>
        <v> = 'B16010_020',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5.75" customHeight="1">
      <c r="A1013" s="2" t="s">
        <v>10</v>
      </c>
      <c r="B1013" s="1"/>
      <c r="C1013" s="7" t="s">
        <v>1158</v>
      </c>
      <c r="D1013" s="7" t="s">
        <v>1159</v>
      </c>
      <c r="E1013" s="7" t="s">
        <v>3473</v>
      </c>
      <c r="F1013" s="3" t="str">
        <f>IFERROR(__xludf.DUMMYFUNCTION("REGEXREPLACE(E1013, ""[^A-Za-z0-9]"", """")"),"EducationalAttainmentandEmploymentStatusbyLanguageSpokenatHomeforthePopulation25YearsandOver")</f>
        <v>EducationalAttainmentandEmploymentStatusbyLanguageSpokenatHomeforthePopulation25YearsandOver</v>
      </c>
      <c r="G1013" s="7"/>
      <c r="H1013" s="7" t="s">
        <v>3552</v>
      </c>
      <c r="I1013" s="1" t="s">
        <v>3553</v>
      </c>
      <c r="J1013" s="7" t="s">
        <v>3554</v>
      </c>
      <c r="K1013" s="1"/>
      <c r="L1013" s="1" t="s">
        <v>3555</v>
      </c>
      <c r="M1013" s="1"/>
      <c r="N1013" s="1"/>
      <c r="O1013" s="1" t="str">
        <f t="shared" si="1"/>
        <v> = 'B16010_021',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5.75" customHeight="1">
      <c r="A1014" s="2" t="s">
        <v>10</v>
      </c>
      <c r="B1014" s="1"/>
      <c r="C1014" s="7" t="s">
        <v>1158</v>
      </c>
      <c r="D1014" s="7" t="s">
        <v>1159</v>
      </c>
      <c r="E1014" s="7" t="s">
        <v>3473</v>
      </c>
      <c r="F1014" s="3" t="str">
        <f>IFERROR(__xludf.DUMMYFUNCTION("REGEXREPLACE(E1014, ""[^A-Za-z0-9]"", """")"),"EducationalAttainmentandEmploymentStatusbyLanguageSpokenatHomeforthePopulation25YearsandOver")</f>
        <v>EducationalAttainmentandEmploymentStatusbyLanguageSpokenatHomeforthePopulation25YearsandOver</v>
      </c>
      <c r="G1014" s="7"/>
      <c r="H1014" s="7" t="s">
        <v>3556</v>
      </c>
      <c r="I1014" s="1" t="s">
        <v>3557</v>
      </c>
      <c r="J1014" s="7" t="s">
        <v>3558</v>
      </c>
      <c r="K1014" s="1"/>
      <c r="L1014" s="1" t="s">
        <v>3559</v>
      </c>
      <c r="M1014" s="1"/>
      <c r="N1014" s="1"/>
      <c r="O1014" s="1" t="str">
        <f t="shared" si="1"/>
        <v> = 'B16010_022',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5.75" customHeight="1">
      <c r="A1015" s="2" t="s">
        <v>10</v>
      </c>
      <c r="B1015" s="1"/>
      <c r="C1015" s="7" t="s">
        <v>1158</v>
      </c>
      <c r="D1015" s="7" t="s">
        <v>1159</v>
      </c>
      <c r="E1015" s="7" t="s">
        <v>3473</v>
      </c>
      <c r="F1015" s="3" t="str">
        <f>IFERROR(__xludf.DUMMYFUNCTION("REGEXREPLACE(E1015, ""[^A-Za-z0-9]"", """")"),"EducationalAttainmentandEmploymentStatusbyLanguageSpokenatHomeforthePopulation25YearsandOver")</f>
        <v>EducationalAttainmentandEmploymentStatusbyLanguageSpokenatHomeforthePopulation25YearsandOver</v>
      </c>
      <c r="G1015" s="7"/>
      <c r="H1015" s="7" t="s">
        <v>3560</v>
      </c>
      <c r="I1015" s="1" t="s">
        <v>3561</v>
      </c>
      <c r="J1015" s="7" t="s">
        <v>3562</v>
      </c>
      <c r="K1015" s="1"/>
      <c r="L1015" s="1" t="s">
        <v>3563</v>
      </c>
      <c r="M1015" s="1"/>
      <c r="N1015" s="1"/>
      <c r="O1015" s="1" t="str">
        <f t="shared" si="1"/>
        <v> = 'B16010_023',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5.75" customHeight="1">
      <c r="A1016" s="2" t="s">
        <v>10</v>
      </c>
      <c r="B1016" s="1"/>
      <c r="C1016" s="7" t="s">
        <v>1158</v>
      </c>
      <c r="D1016" s="7" t="s">
        <v>1159</v>
      </c>
      <c r="E1016" s="7" t="s">
        <v>3473</v>
      </c>
      <c r="F1016" s="3" t="str">
        <f>IFERROR(__xludf.DUMMYFUNCTION("REGEXREPLACE(E1016, ""[^A-Za-z0-9]"", """")"),"EducationalAttainmentandEmploymentStatusbyLanguageSpokenatHomeforthePopulation25YearsandOver")</f>
        <v>EducationalAttainmentandEmploymentStatusbyLanguageSpokenatHomeforthePopulation25YearsandOver</v>
      </c>
      <c r="G1016" s="7"/>
      <c r="H1016" s="7" t="s">
        <v>3564</v>
      </c>
      <c r="I1016" s="1" t="s">
        <v>3565</v>
      </c>
      <c r="J1016" s="7" t="s">
        <v>3566</v>
      </c>
      <c r="K1016" s="1"/>
      <c r="L1016" s="1" t="s">
        <v>3567</v>
      </c>
      <c r="M1016" s="1"/>
      <c r="N1016" s="1"/>
      <c r="O1016" s="1" t="str">
        <f t="shared" si="1"/>
        <v> = 'B16010_024',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5.75" customHeight="1">
      <c r="A1017" s="2" t="s">
        <v>10</v>
      </c>
      <c r="B1017" s="1"/>
      <c r="C1017" s="7" t="s">
        <v>1158</v>
      </c>
      <c r="D1017" s="7" t="s">
        <v>1159</v>
      </c>
      <c r="E1017" s="7" t="s">
        <v>3473</v>
      </c>
      <c r="F1017" s="3" t="str">
        <f>IFERROR(__xludf.DUMMYFUNCTION("REGEXREPLACE(E1017, ""[^A-Za-z0-9]"", """")"),"EducationalAttainmentandEmploymentStatusbyLanguageSpokenatHomeforthePopulation25YearsandOver")</f>
        <v>EducationalAttainmentandEmploymentStatusbyLanguageSpokenatHomeforthePopulation25YearsandOver</v>
      </c>
      <c r="G1017" s="7"/>
      <c r="H1017" s="7" t="s">
        <v>3568</v>
      </c>
      <c r="I1017" s="1" t="s">
        <v>3569</v>
      </c>
      <c r="J1017" s="7" t="s">
        <v>3570</v>
      </c>
      <c r="K1017" s="1"/>
      <c r="L1017" s="1" t="s">
        <v>3571</v>
      </c>
      <c r="M1017" s="1"/>
      <c r="N1017" s="1"/>
      <c r="O1017" s="1" t="str">
        <f t="shared" si="1"/>
        <v> = 'B16010_025',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5.75" customHeight="1">
      <c r="A1018" s="2" t="s">
        <v>10</v>
      </c>
      <c r="B1018" s="1"/>
      <c r="C1018" s="7" t="s">
        <v>1158</v>
      </c>
      <c r="D1018" s="7" t="s">
        <v>1159</v>
      </c>
      <c r="E1018" s="7" t="s">
        <v>3473</v>
      </c>
      <c r="F1018" s="3" t="str">
        <f>IFERROR(__xludf.DUMMYFUNCTION("REGEXREPLACE(E1018, ""[^A-Za-z0-9]"", """")"),"EducationalAttainmentandEmploymentStatusbyLanguageSpokenatHomeforthePopulation25YearsandOver")</f>
        <v>EducationalAttainmentandEmploymentStatusbyLanguageSpokenatHomeforthePopulation25YearsandOver</v>
      </c>
      <c r="G1018" s="7"/>
      <c r="H1018" s="7" t="s">
        <v>3572</v>
      </c>
      <c r="I1018" s="1" t="s">
        <v>3573</v>
      </c>
      <c r="J1018" s="7" t="s">
        <v>3574</v>
      </c>
      <c r="K1018" s="1"/>
      <c r="L1018" s="1" t="s">
        <v>3575</v>
      </c>
      <c r="M1018" s="1"/>
      <c r="N1018" s="1"/>
      <c r="O1018" s="1" t="str">
        <f t="shared" si="1"/>
        <v> = 'B16010_026',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ht="15.75" customHeight="1">
      <c r="A1019" s="2" t="s">
        <v>10</v>
      </c>
      <c r="B1019" s="1"/>
      <c r="C1019" s="7" t="s">
        <v>1158</v>
      </c>
      <c r="D1019" s="7" t="s">
        <v>1159</v>
      </c>
      <c r="E1019" s="7" t="s">
        <v>3473</v>
      </c>
      <c r="F1019" s="3" t="str">
        <f>IFERROR(__xludf.DUMMYFUNCTION("REGEXREPLACE(E1019, ""[^A-Za-z0-9]"", """")"),"EducationalAttainmentandEmploymentStatusbyLanguageSpokenatHomeforthePopulation25YearsandOver")</f>
        <v>EducationalAttainmentandEmploymentStatusbyLanguageSpokenatHomeforthePopulation25YearsandOver</v>
      </c>
      <c r="G1019" s="7"/>
      <c r="H1019" s="7" t="s">
        <v>3576</v>
      </c>
      <c r="I1019" s="1" t="s">
        <v>3577</v>
      </c>
      <c r="J1019" s="7" t="s">
        <v>3578</v>
      </c>
      <c r="K1019" s="1"/>
      <c r="L1019" s="1" t="s">
        <v>3579</v>
      </c>
      <c r="M1019" s="1"/>
      <c r="N1019" s="1"/>
      <c r="O1019" s="1" t="str">
        <f t="shared" si="1"/>
        <v> = 'B16010_027',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5.75" customHeight="1">
      <c r="A1020" s="2" t="s">
        <v>10</v>
      </c>
      <c r="B1020" s="1"/>
      <c r="C1020" s="7" t="s">
        <v>1158</v>
      </c>
      <c r="D1020" s="7" t="s">
        <v>1159</v>
      </c>
      <c r="E1020" s="7" t="s">
        <v>3473</v>
      </c>
      <c r="F1020" s="3" t="str">
        <f>IFERROR(__xludf.DUMMYFUNCTION("REGEXREPLACE(E1020, ""[^A-Za-z0-9]"", """")"),"EducationalAttainmentandEmploymentStatusbyLanguageSpokenatHomeforthePopulation25YearsandOver")</f>
        <v>EducationalAttainmentandEmploymentStatusbyLanguageSpokenatHomeforthePopulation25YearsandOver</v>
      </c>
      <c r="G1020" s="7"/>
      <c r="H1020" s="7" t="s">
        <v>3580</v>
      </c>
      <c r="I1020" s="1" t="s">
        <v>3581</v>
      </c>
      <c r="J1020" s="7" t="s">
        <v>3582</v>
      </c>
      <c r="K1020" s="1"/>
      <c r="L1020" s="1" t="s">
        <v>3583</v>
      </c>
      <c r="M1020" s="1"/>
      <c r="N1020" s="1"/>
      <c r="O1020" s="1" t="str">
        <f t="shared" si="1"/>
        <v> = 'B16010_028',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5.75" customHeight="1">
      <c r="A1021" s="2" t="s">
        <v>10</v>
      </c>
      <c r="B1021" s="1"/>
      <c r="C1021" s="7" t="s">
        <v>1158</v>
      </c>
      <c r="D1021" s="7" t="s">
        <v>1159</v>
      </c>
      <c r="E1021" s="7" t="s">
        <v>3473</v>
      </c>
      <c r="F1021" s="3" t="str">
        <f>IFERROR(__xludf.DUMMYFUNCTION("REGEXREPLACE(E1021, ""[^A-Za-z0-9]"", """")"),"EducationalAttainmentandEmploymentStatusbyLanguageSpokenatHomeforthePopulation25YearsandOver")</f>
        <v>EducationalAttainmentandEmploymentStatusbyLanguageSpokenatHomeforthePopulation25YearsandOver</v>
      </c>
      <c r="G1021" s="7"/>
      <c r="H1021" s="7" t="s">
        <v>3584</v>
      </c>
      <c r="I1021" s="1" t="s">
        <v>3585</v>
      </c>
      <c r="J1021" s="7" t="s">
        <v>3586</v>
      </c>
      <c r="K1021" s="1"/>
      <c r="L1021" s="1" t="s">
        <v>3587</v>
      </c>
      <c r="M1021" s="1"/>
      <c r="N1021" s="1"/>
      <c r="O1021" s="1" t="str">
        <f t="shared" si="1"/>
        <v> = 'B16010_029',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5.75" customHeight="1">
      <c r="A1022" s="2" t="s">
        <v>10</v>
      </c>
      <c r="B1022" s="1"/>
      <c r="C1022" s="7" t="s">
        <v>1158</v>
      </c>
      <c r="D1022" s="7" t="s">
        <v>1159</v>
      </c>
      <c r="E1022" s="7" t="s">
        <v>3473</v>
      </c>
      <c r="F1022" s="3" t="str">
        <f>IFERROR(__xludf.DUMMYFUNCTION("REGEXREPLACE(E1022, ""[^A-Za-z0-9]"", """")"),"EducationalAttainmentandEmploymentStatusbyLanguageSpokenatHomeforthePopulation25YearsandOver")</f>
        <v>EducationalAttainmentandEmploymentStatusbyLanguageSpokenatHomeforthePopulation25YearsandOver</v>
      </c>
      <c r="G1022" s="7"/>
      <c r="H1022" s="7" t="s">
        <v>3588</v>
      </c>
      <c r="I1022" s="1" t="s">
        <v>3589</v>
      </c>
      <c r="J1022" s="7" t="s">
        <v>3590</v>
      </c>
      <c r="K1022" s="1"/>
      <c r="L1022" s="1" t="s">
        <v>3591</v>
      </c>
      <c r="M1022" s="1"/>
      <c r="N1022" s="1"/>
      <c r="O1022" s="1" t="str">
        <f t="shared" si="1"/>
        <v> = 'B16010_030',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5.75" customHeight="1">
      <c r="A1023" s="2" t="s">
        <v>10</v>
      </c>
      <c r="B1023" s="1"/>
      <c r="C1023" s="7" t="s">
        <v>1158</v>
      </c>
      <c r="D1023" s="7" t="s">
        <v>1159</v>
      </c>
      <c r="E1023" s="7" t="s">
        <v>3473</v>
      </c>
      <c r="F1023" s="3" t="str">
        <f>IFERROR(__xludf.DUMMYFUNCTION("REGEXREPLACE(E1023, ""[^A-Za-z0-9]"", """")"),"EducationalAttainmentandEmploymentStatusbyLanguageSpokenatHomeforthePopulation25YearsandOver")</f>
        <v>EducationalAttainmentandEmploymentStatusbyLanguageSpokenatHomeforthePopulation25YearsandOver</v>
      </c>
      <c r="G1023" s="7"/>
      <c r="H1023" s="7" t="s">
        <v>3592</v>
      </c>
      <c r="I1023" s="1" t="s">
        <v>3593</v>
      </c>
      <c r="J1023" s="7" t="s">
        <v>3594</v>
      </c>
      <c r="K1023" s="1"/>
      <c r="L1023" s="1" t="s">
        <v>3595</v>
      </c>
      <c r="M1023" s="1"/>
      <c r="N1023" s="1"/>
      <c r="O1023" s="1" t="str">
        <f t="shared" si="1"/>
        <v> = 'B16010_031',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5.75" customHeight="1">
      <c r="A1024" s="2" t="s">
        <v>10</v>
      </c>
      <c r="B1024" s="1"/>
      <c r="C1024" s="7" t="s">
        <v>1158</v>
      </c>
      <c r="D1024" s="7" t="s">
        <v>1159</v>
      </c>
      <c r="E1024" s="7" t="s">
        <v>3473</v>
      </c>
      <c r="F1024" s="3" t="str">
        <f>IFERROR(__xludf.DUMMYFUNCTION("REGEXREPLACE(E1024, ""[^A-Za-z0-9]"", """")"),"EducationalAttainmentandEmploymentStatusbyLanguageSpokenatHomeforthePopulation25YearsandOver")</f>
        <v>EducationalAttainmentandEmploymentStatusbyLanguageSpokenatHomeforthePopulation25YearsandOver</v>
      </c>
      <c r="G1024" s="7"/>
      <c r="H1024" s="7" t="s">
        <v>3596</v>
      </c>
      <c r="I1024" s="1" t="s">
        <v>3597</v>
      </c>
      <c r="J1024" s="7" t="s">
        <v>3598</v>
      </c>
      <c r="K1024" s="1"/>
      <c r="L1024" s="1" t="s">
        <v>3599</v>
      </c>
      <c r="M1024" s="1"/>
      <c r="N1024" s="1"/>
      <c r="O1024" s="1" t="str">
        <f t="shared" si="1"/>
        <v> = 'B16010_032',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5.75" customHeight="1">
      <c r="A1025" s="2" t="s">
        <v>10</v>
      </c>
      <c r="B1025" s="1"/>
      <c r="C1025" s="7" t="s">
        <v>1158</v>
      </c>
      <c r="D1025" s="7" t="s">
        <v>1159</v>
      </c>
      <c r="E1025" s="7" t="s">
        <v>3473</v>
      </c>
      <c r="F1025" s="3" t="str">
        <f>IFERROR(__xludf.DUMMYFUNCTION("REGEXREPLACE(E1025, ""[^A-Za-z0-9]"", """")"),"EducationalAttainmentandEmploymentStatusbyLanguageSpokenatHomeforthePopulation25YearsandOver")</f>
        <v>EducationalAttainmentandEmploymentStatusbyLanguageSpokenatHomeforthePopulation25YearsandOver</v>
      </c>
      <c r="G1025" s="7"/>
      <c r="H1025" s="7" t="s">
        <v>3600</v>
      </c>
      <c r="I1025" s="1" t="s">
        <v>3601</v>
      </c>
      <c r="J1025" s="7" t="s">
        <v>3602</v>
      </c>
      <c r="K1025" s="1"/>
      <c r="L1025" s="1" t="s">
        <v>3603</v>
      </c>
      <c r="M1025" s="1"/>
      <c r="N1025" s="1"/>
      <c r="O1025" s="1" t="str">
        <f t="shared" si="1"/>
        <v> = 'B16010_033',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5.75" customHeight="1">
      <c r="A1026" s="2" t="s">
        <v>10</v>
      </c>
      <c r="B1026" s="1"/>
      <c r="C1026" s="7" t="s">
        <v>1158</v>
      </c>
      <c r="D1026" s="7" t="s">
        <v>1159</v>
      </c>
      <c r="E1026" s="7" t="s">
        <v>3473</v>
      </c>
      <c r="F1026" s="3" t="str">
        <f>IFERROR(__xludf.DUMMYFUNCTION("REGEXREPLACE(E1026, ""[^A-Za-z0-9]"", """")"),"EducationalAttainmentandEmploymentStatusbyLanguageSpokenatHomeforthePopulation25YearsandOver")</f>
        <v>EducationalAttainmentandEmploymentStatusbyLanguageSpokenatHomeforthePopulation25YearsandOver</v>
      </c>
      <c r="G1026" s="7"/>
      <c r="H1026" s="7" t="s">
        <v>3604</v>
      </c>
      <c r="I1026" s="1" t="s">
        <v>3605</v>
      </c>
      <c r="J1026" s="7" t="s">
        <v>3606</v>
      </c>
      <c r="K1026" s="1"/>
      <c r="L1026" s="1" t="s">
        <v>3607</v>
      </c>
      <c r="M1026" s="1"/>
      <c r="N1026" s="1"/>
      <c r="O1026" s="1" t="str">
        <f t="shared" si="1"/>
        <v> = 'B16010_034',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5.75" customHeight="1">
      <c r="A1027" s="2" t="s">
        <v>10</v>
      </c>
      <c r="B1027" s="1"/>
      <c r="C1027" s="7" t="s">
        <v>1158</v>
      </c>
      <c r="D1027" s="7" t="s">
        <v>1159</v>
      </c>
      <c r="E1027" s="7" t="s">
        <v>3473</v>
      </c>
      <c r="F1027" s="3" t="str">
        <f>IFERROR(__xludf.DUMMYFUNCTION("REGEXREPLACE(E1027, ""[^A-Za-z0-9]"", """")"),"EducationalAttainmentandEmploymentStatusbyLanguageSpokenatHomeforthePopulation25YearsandOver")</f>
        <v>EducationalAttainmentandEmploymentStatusbyLanguageSpokenatHomeforthePopulation25YearsandOver</v>
      </c>
      <c r="G1027" s="7"/>
      <c r="H1027" s="7" t="s">
        <v>3608</v>
      </c>
      <c r="I1027" s="1" t="s">
        <v>3609</v>
      </c>
      <c r="J1027" s="7" t="s">
        <v>3610</v>
      </c>
      <c r="K1027" s="1"/>
      <c r="L1027" s="1" t="s">
        <v>3611</v>
      </c>
      <c r="M1027" s="1"/>
      <c r="N1027" s="1"/>
      <c r="O1027" s="1" t="str">
        <f t="shared" si="1"/>
        <v> = 'B16010_035',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5.75" customHeight="1">
      <c r="A1028" s="2" t="s">
        <v>10</v>
      </c>
      <c r="B1028" s="1"/>
      <c r="C1028" s="7" t="s">
        <v>1158</v>
      </c>
      <c r="D1028" s="7" t="s">
        <v>1159</v>
      </c>
      <c r="E1028" s="7" t="s">
        <v>3473</v>
      </c>
      <c r="F1028" s="3" t="str">
        <f>IFERROR(__xludf.DUMMYFUNCTION("REGEXREPLACE(E1028, ""[^A-Za-z0-9]"", """")"),"EducationalAttainmentandEmploymentStatusbyLanguageSpokenatHomeforthePopulation25YearsandOver")</f>
        <v>EducationalAttainmentandEmploymentStatusbyLanguageSpokenatHomeforthePopulation25YearsandOver</v>
      </c>
      <c r="G1028" s="7"/>
      <c r="H1028" s="7" t="s">
        <v>3612</v>
      </c>
      <c r="I1028" s="1" t="s">
        <v>3613</v>
      </c>
      <c r="J1028" s="7" t="s">
        <v>3614</v>
      </c>
      <c r="K1028" s="1"/>
      <c r="L1028" s="1" t="s">
        <v>3615</v>
      </c>
      <c r="M1028" s="1"/>
      <c r="N1028" s="1"/>
      <c r="O1028" s="1" t="str">
        <f t="shared" si="1"/>
        <v> = 'B16010_036',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5.75" customHeight="1">
      <c r="A1029" s="2" t="s">
        <v>10</v>
      </c>
      <c r="B1029" s="1"/>
      <c r="C1029" s="7" t="s">
        <v>1158</v>
      </c>
      <c r="D1029" s="7" t="s">
        <v>1159</v>
      </c>
      <c r="E1029" s="7" t="s">
        <v>3473</v>
      </c>
      <c r="F1029" s="3" t="str">
        <f>IFERROR(__xludf.DUMMYFUNCTION("REGEXREPLACE(E1029, ""[^A-Za-z0-9]"", """")"),"EducationalAttainmentandEmploymentStatusbyLanguageSpokenatHomeforthePopulation25YearsandOver")</f>
        <v>EducationalAttainmentandEmploymentStatusbyLanguageSpokenatHomeforthePopulation25YearsandOver</v>
      </c>
      <c r="G1029" s="7"/>
      <c r="H1029" s="7" t="s">
        <v>3616</v>
      </c>
      <c r="I1029" s="1" t="s">
        <v>3617</v>
      </c>
      <c r="J1029" s="7" t="s">
        <v>3618</v>
      </c>
      <c r="K1029" s="1"/>
      <c r="L1029" s="1" t="s">
        <v>3619</v>
      </c>
      <c r="M1029" s="1"/>
      <c r="N1029" s="1"/>
      <c r="O1029" s="1" t="str">
        <f t="shared" si="1"/>
        <v> = 'B16010_037',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5.75" customHeight="1">
      <c r="A1030" s="2" t="s">
        <v>10</v>
      </c>
      <c r="B1030" s="1"/>
      <c r="C1030" s="7" t="s">
        <v>1158</v>
      </c>
      <c r="D1030" s="7" t="s">
        <v>1159</v>
      </c>
      <c r="E1030" s="7" t="s">
        <v>3473</v>
      </c>
      <c r="F1030" s="3" t="str">
        <f>IFERROR(__xludf.DUMMYFUNCTION("REGEXREPLACE(E1030, ""[^A-Za-z0-9]"", """")"),"EducationalAttainmentandEmploymentStatusbyLanguageSpokenatHomeforthePopulation25YearsandOver")</f>
        <v>EducationalAttainmentandEmploymentStatusbyLanguageSpokenatHomeforthePopulation25YearsandOver</v>
      </c>
      <c r="G1030" s="7"/>
      <c r="H1030" s="7" t="s">
        <v>3620</v>
      </c>
      <c r="I1030" s="1" t="s">
        <v>3621</v>
      </c>
      <c r="J1030" s="7" t="s">
        <v>3622</v>
      </c>
      <c r="K1030" s="1"/>
      <c r="L1030" s="1" t="s">
        <v>3623</v>
      </c>
      <c r="M1030" s="1"/>
      <c r="N1030" s="1"/>
      <c r="O1030" s="1" t="str">
        <f t="shared" si="1"/>
        <v> = 'B16010_038',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5.75" customHeight="1">
      <c r="A1031" s="2" t="s">
        <v>10</v>
      </c>
      <c r="B1031" s="1"/>
      <c r="C1031" s="7" t="s">
        <v>1158</v>
      </c>
      <c r="D1031" s="7" t="s">
        <v>1159</v>
      </c>
      <c r="E1031" s="7" t="s">
        <v>3473</v>
      </c>
      <c r="F1031" s="3" t="str">
        <f>IFERROR(__xludf.DUMMYFUNCTION("REGEXREPLACE(E1031, ""[^A-Za-z0-9]"", """")"),"EducationalAttainmentandEmploymentStatusbyLanguageSpokenatHomeforthePopulation25YearsandOver")</f>
        <v>EducationalAttainmentandEmploymentStatusbyLanguageSpokenatHomeforthePopulation25YearsandOver</v>
      </c>
      <c r="G1031" s="7"/>
      <c r="H1031" s="7" t="s">
        <v>3624</v>
      </c>
      <c r="I1031" s="1" t="s">
        <v>3625</v>
      </c>
      <c r="J1031" s="7" t="s">
        <v>3626</v>
      </c>
      <c r="K1031" s="1"/>
      <c r="L1031" s="1" t="s">
        <v>3627</v>
      </c>
      <c r="M1031" s="1"/>
      <c r="N1031" s="1"/>
      <c r="O1031" s="1" t="str">
        <f t="shared" si="1"/>
        <v> = 'B16010_039',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5.75" customHeight="1">
      <c r="A1032" s="2" t="s">
        <v>10</v>
      </c>
      <c r="B1032" s="1"/>
      <c r="C1032" s="7" t="s">
        <v>1158</v>
      </c>
      <c r="D1032" s="7" t="s">
        <v>1159</v>
      </c>
      <c r="E1032" s="7" t="s">
        <v>3473</v>
      </c>
      <c r="F1032" s="3" t="str">
        <f>IFERROR(__xludf.DUMMYFUNCTION("REGEXREPLACE(E1032, ""[^A-Za-z0-9]"", """")"),"EducationalAttainmentandEmploymentStatusbyLanguageSpokenatHomeforthePopulation25YearsandOver")</f>
        <v>EducationalAttainmentandEmploymentStatusbyLanguageSpokenatHomeforthePopulation25YearsandOver</v>
      </c>
      <c r="G1032" s="7"/>
      <c r="H1032" s="7" t="s">
        <v>3628</v>
      </c>
      <c r="I1032" s="1" t="s">
        <v>3629</v>
      </c>
      <c r="J1032" s="7" t="s">
        <v>3630</v>
      </c>
      <c r="K1032" s="1"/>
      <c r="L1032" s="1" t="s">
        <v>3631</v>
      </c>
      <c r="M1032" s="1"/>
      <c r="N1032" s="1"/>
      <c r="O1032" s="1" t="str">
        <f t="shared" si="1"/>
        <v> = 'B16010_040',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5.75" customHeight="1">
      <c r="A1033" s="2" t="s">
        <v>10</v>
      </c>
      <c r="B1033" s="1"/>
      <c r="C1033" s="7" t="s">
        <v>1158</v>
      </c>
      <c r="D1033" s="7" t="s">
        <v>1159</v>
      </c>
      <c r="E1033" s="7" t="s">
        <v>3473</v>
      </c>
      <c r="F1033" s="3" t="str">
        <f>IFERROR(__xludf.DUMMYFUNCTION("REGEXREPLACE(E1033, ""[^A-Za-z0-9]"", """")"),"EducationalAttainmentandEmploymentStatusbyLanguageSpokenatHomeforthePopulation25YearsandOver")</f>
        <v>EducationalAttainmentandEmploymentStatusbyLanguageSpokenatHomeforthePopulation25YearsandOver</v>
      </c>
      <c r="G1033" s="7"/>
      <c r="H1033" s="7" t="s">
        <v>862</v>
      </c>
      <c r="I1033" s="1" t="s">
        <v>3632</v>
      </c>
      <c r="J1033" s="7" t="s">
        <v>3633</v>
      </c>
      <c r="K1033" s="1"/>
      <c r="L1033" s="1" t="s">
        <v>865</v>
      </c>
      <c r="M1033" s="1"/>
      <c r="N1033" s="1"/>
      <c r="O1033" s="1" t="str">
        <f t="shared" si="1"/>
        <v> = 'B16010_041',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5.75" customHeight="1">
      <c r="A1034" s="2" t="s">
        <v>10</v>
      </c>
      <c r="B1034" s="1"/>
      <c r="C1034" s="7" t="s">
        <v>1158</v>
      </c>
      <c r="D1034" s="7" t="s">
        <v>1159</v>
      </c>
      <c r="E1034" s="7" t="s">
        <v>3473</v>
      </c>
      <c r="F1034" s="3" t="str">
        <f>IFERROR(__xludf.DUMMYFUNCTION("REGEXREPLACE(E1034, ""[^A-Za-z0-9]"", """")"),"EducationalAttainmentandEmploymentStatusbyLanguageSpokenatHomeforthePopulation25YearsandOver")</f>
        <v>EducationalAttainmentandEmploymentStatusbyLanguageSpokenatHomeforthePopulation25YearsandOver</v>
      </c>
      <c r="G1034" s="7"/>
      <c r="H1034" s="7" t="s">
        <v>3634</v>
      </c>
      <c r="I1034" s="1" t="s">
        <v>3635</v>
      </c>
      <c r="J1034" s="7" t="s">
        <v>3636</v>
      </c>
      <c r="K1034" s="1"/>
      <c r="L1034" s="1" t="s">
        <v>3637</v>
      </c>
      <c r="M1034" s="1"/>
      <c r="N1034" s="1"/>
      <c r="O1034" s="1" t="str">
        <f t="shared" si="1"/>
        <v> = 'B16010_042',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5.75" customHeight="1">
      <c r="A1035" s="2" t="s">
        <v>10</v>
      </c>
      <c r="B1035" s="1"/>
      <c r="C1035" s="7" t="s">
        <v>1158</v>
      </c>
      <c r="D1035" s="7" t="s">
        <v>1159</v>
      </c>
      <c r="E1035" s="7" t="s">
        <v>3473</v>
      </c>
      <c r="F1035" s="3" t="str">
        <f>IFERROR(__xludf.DUMMYFUNCTION("REGEXREPLACE(E1035, ""[^A-Za-z0-9]"", """")"),"EducationalAttainmentandEmploymentStatusbyLanguageSpokenatHomeforthePopulation25YearsandOver")</f>
        <v>EducationalAttainmentandEmploymentStatusbyLanguageSpokenatHomeforthePopulation25YearsandOver</v>
      </c>
      <c r="G1035" s="7"/>
      <c r="H1035" s="7" t="s">
        <v>3638</v>
      </c>
      <c r="I1035" s="1" t="s">
        <v>3639</v>
      </c>
      <c r="J1035" s="7" t="s">
        <v>3640</v>
      </c>
      <c r="K1035" s="1"/>
      <c r="L1035" s="1" t="s">
        <v>3641</v>
      </c>
      <c r="M1035" s="1"/>
      <c r="N1035" s="1"/>
      <c r="O1035" s="1" t="str">
        <f t="shared" si="1"/>
        <v> = 'B16010_043',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5.75" customHeight="1">
      <c r="A1036" s="2" t="s">
        <v>10</v>
      </c>
      <c r="B1036" s="1"/>
      <c r="C1036" s="7" t="s">
        <v>1158</v>
      </c>
      <c r="D1036" s="7" t="s">
        <v>1159</v>
      </c>
      <c r="E1036" s="7" t="s">
        <v>3473</v>
      </c>
      <c r="F1036" s="3" t="str">
        <f>IFERROR(__xludf.DUMMYFUNCTION("REGEXREPLACE(E1036, ""[^A-Za-z0-9]"", """")"),"EducationalAttainmentandEmploymentStatusbyLanguageSpokenatHomeforthePopulation25YearsandOver")</f>
        <v>EducationalAttainmentandEmploymentStatusbyLanguageSpokenatHomeforthePopulation25YearsandOver</v>
      </c>
      <c r="G1036" s="7"/>
      <c r="H1036" s="7" t="s">
        <v>3642</v>
      </c>
      <c r="I1036" s="1" t="s">
        <v>3643</v>
      </c>
      <c r="J1036" s="7" t="s">
        <v>3644</v>
      </c>
      <c r="K1036" s="1"/>
      <c r="L1036" s="1" t="s">
        <v>3645</v>
      </c>
      <c r="M1036" s="1"/>
      <c r="N1036" s="1"/>
      <c r="O1036" s="1" t="str">
        <f t="shared" si="1"/>
        <v> = 'B16010_044',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5.75" customHeight="1">
      <c r="A1037" s="2" t="s">
        <v>10</v>
      </c>
      <c r="B1037" s="1"/>
      <c r="C1037" s="7" t="s">
        <v>1158</v>
      </c>
      <c r="D1037" s="7" t="s">
        <v>1159</v>
      </c>
      <c r="E1037" s="7" t="s">
        <v>3473</v>
      </c>
      <c r="F1037" s="3" t="str">
        <f>IFERROR(__xludf.DUMMYFUNCTION("REGEXREPLACE(E1037, ""[^A-Za-z0-9]"", """")"),"EducationalAttainmentandEmploymentStatusbyLanguageSpokenatHomeforthePopulation25YearsandOver")</f>
        <v>EducationalAttainmentandEmploymentStatusbyLanguageSpokenatHomeforthePopulation25YearsandOver</v>
      </c>
      <c r="G1037" s="7"/>
      <c r="H1037" s="7" t="s">
        <v>3646</v>
      </c>
      <c r="I1037" s="1" t="s">
        <v>3647</v>
      </c>
      <c r="J1037" s="7" t="s">
        <v>3648</v>
      </c>
      <c r="K1037" s="1"/>
      <c r="L1037" s="1" t="s">
        <v>3649</v>
      </c>
      <c r="M1037" s="1"/>
      <c r="N1037" s="1"/>
      <c r="O1037" s="1" t="str">
        <f t="shared" si="1"/>
        <v> = 'B16010_045',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5.75" customHeight="1">
      <c r="A1038" s="2" t="s">
        <v>10</v>
      </c>
      <c r="B1038" s="1"/>
      <c r="C1038" s="7" t="s">
        <v>1158</v>
      </c>
      <c r="D1038" s="7" t="s">
        <v>1159</v>
      </c>
      <c r="E1038" s="7" t="s">
        <v>3473</v>
      </c>
      <c r="F1038" s="3" t="str">
        <f>IFERROR(__xludf.DUMMYFUNCTION("REGEXREPLACE(E1038, ""[^A-Za-z0-9]"", """")"),"EducationalAttainmentandEmploymentStatusbyLanguageSpokenatHomeforthePopulation25YearsandOver")</f>
        <v>EducationalAttainmentandEmploymentStatusbyLanguageSpokenatHomeforthePopulation25YearsandOver</v>
      </c>
      <c r="G1038" s="7"/>
      <c r="H1038" s="7" t="s">
        <v>3650</v>
      </c>
      <c r="I1038" s="1" t="s">
        <v>3651</v>
      </c>
      <c r="J1038" s="7" t="s">
        <v>3652</v>
      </c>
      <c r="K1038" s="1"/>
      <c r="L1038" s="1" t="s">
        <v>3653</v>
      </c>
      <c r="M1038" s="1"/>
      <c r="N1038" s="1"/>
      <c r="O1038" s="1" t="str">
        <f t="shared" si="1"/>
        <v> = 'B16010_046',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5.75" customHeight="1">
      <c r="A1039" s="2" t="s">
        <v>10</v>
      </c>
      <c r="B1039" s="1"/>
      <c r="C1039" s="7" t="s">
        <v>1158</v>
      </c>
      <c r="D1039" s="7" t="s">
        <v>1159</v>
      </c>
      <c r="E1039" s="7" t="s">
        <v>3473</v>
      </c>
      <c r="F1039" s="3" t="str">
        <f>IFERROR(__xludf.DUMMYFUNCTION("REGEXREPLACE(E1039, ""[^A-Za-z0-9]"", """")"),"EducationalAttainmentandEmploymentStatusbyLanguageSpokenatHomeforthePopulation25YearsandOver")</f>
        <v>EducationalAttainmentandEmploymentStatusbyLanguageSpokenatHomeforthePopulation25YearsandOver</v>
      </c>
      <c r="G1039" s="7"/>
      <c r="H1039" s="7" t="s">
        <v>3654</v>
      </c>
      <c r="I1039" s="1" t="s">
        <v>3655</v>
      </c>
      <c r="J1039" s="7" t="s">
        <v>3656</v>
      </c>
      <c r="K1039" s="1"/>
      <c r="L1039" s="1" t="s">
        <v>3657</v>
      </c>
      <c r="M1039" s="1"/>
      <c r="N1039" s="1"/>
      <c r="O1039" s="1" t="str">
        <f t="shared" si="1"/>
        <v> = 'B16010_047',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5.75" customHeight="1">
      <c r="A1040" s="2" t="s">
        <v>10</v>
      </c>
      <c r="B1040" s="1"/>
      <c r="C1040" s="7" t="s">
        <v>1158</v>
      </c>
      <c r="D1040" s="7" t="s">
        <v>1159</v>
      </c>
      <c r="E1040" s="7" t="s">
        <v>3473</v>
      </c>
      <c r="F1040" s="3" t="str">
        <f>IFERROR(__xludf.DUMMYFUNCTION("REGEXREPLACE(E1040, ""[^A-Za-z0-9]"", """")"),"EducationalAttainmentandEmploymentStatusbyLanguageSpokenatHomeforthePopulation25YearsandOver")</f>
        <v>EducationalAttainmentandEmploymentStatusbyLanguageSpokenatHomeforthePopulation25YearsandOver</v>
      </c>
      <c r="G1040" s="7"/>
      <c r="H1040" s="7" t="s">
        <v>3658</v>
      </c>
      <c r="I1040" s="1" t="s">
        <v>3659</v>
      </c>
      <c r="J1040" s="7" t="s">
        <v>3660</v>
      </c>
      <c r="K1040" s="1"/>
      <c r="L1040" s="1" t="s">
        <v>3661</v>
      </c>
      <c r="M1040" s="1"/>
      <c r="N1040" s="1"/>
      <c r="O1040" s="1" t="str">
        <f t="shared" si="1"/>
        <v> = 'B16010_048',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5.75" customHeight="1">
      <c r="A1041" s="2" t="s">
        <v>10</v>
      </c>
      <c r="B1041" s="1"/>
      <c r="C1041" s="7" t="s">
        <v>1158</v>
      </c>
      <c r="D1041" s="7" t="s">
        <v>1159</v>
      </c>
      <c r="E1041" s="7" t="s">
        <v>3473</v>
      </c>
      <c r="F1041" s="3" t="str">
        <f>IFERROR(__xludf.DUMMYFUNCTION("REGEXREPLACE(E1041, ""[^A-Za-z0-9]"", """")"),"EducationalAttainmentandEmploymentStatusbyLanguageSpokenatHomeforthePopulation25YearsandOver")</f>
        <v>EducationalAttainmentandEmploymentStatusbyLanguageSpokenatHomeforthePopulation25YearsandOver</v>
      </c>
      <c r="G1041" s="7"/>
      <c r="H1041" s="7" t="s">
        <v>3662</v>
      </c>
      <c r="I1041" s="1" t="s">
        <v>3663</v>
      </c>
      <c r="J1041" s="7" t="s">
        <v>3664</v>
      </c>
      <c r="K1041" s="1"/>
      <c r="L1041" s="1" t="s">
        <v>3665</v>
      </c>
      <c r="M1041" s="1"/>
      <c r="N1041" s="1"/>
      <c r="O1041" s="1" t="str">
        <f t="shared" si="1"/>
        <v> = 'B16010_049',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5.75" customHeight="1">
      <c r="A1042" s="2" t="s">
        <v>10</v>
      </c>
      <c r="B1042" s="1"/>
      <c r="C1042" s="7" t="s">
        <v>1158</v>
      </c>
      <c r="D1042" s="7" t="s">
        <v>1159</v>
      </c>
      <c r="E1042" s="7" t="s">
        <v>3473</v>
      </c>
      <c r="F1042" s="3" t="str">
        <f>IFERROR(__xludf.DUMMYFUNCTION("REGEXREPLACE(E1042, ""[^A-Za-z0-9]"", """")"),"EducationalAttainmentandEmploymentStatusbyLanguageSpokenatHomeforthePopulation25YearsandOver")</f>
        <v>EducationalAttainmentandEmploymentStatusbyLanguageSpokenatHomeforthePopulation25YearsandOver</v>
      </c>
      <c r="G1042" s="7"/>
      <c r="H1042" s="7" t="s">
        <v>3666</v>
      </c>
      <c r="I1042" s="1" t="s">
        <v>3667</v>
      </c>
      <c r="J1042" s="7" t="s">
        <v>3668</v>
      </c>
      <c r="K1042" s="1"/>
      <c r="L1042" s="1" t="s">
        <v>3669</v>
      </c>
      <c r="M1042" s="1"/>
      <c r="N1042" s="1"/>
      <c r="O1042" s="1" t="str">
        <f t="shared" si="1"/>
        <v> = 'B16010_050',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5.75" customHeight="1">
      <c r="A1043" s="2" t="s">
        <v>10</v>
      </c>
      <c r="B1043" s="1"/>
      <c r="C1043" s="7" t="s">
        <v>1158</v>
      </c>
      <c r="D1043" s="7" t="s">
        <v>1159</v>
      </c>
      <c r="E1043" s="7" t="s">
        <v>3473</v>
      </c>
      <c r="F1043" s="3" t="str">
        <f>IFERROR(__xludf.DUMMYFUNCTION("REGEXREPLACE(E1043, ""[^A-Za-z0-9]"", """")"),"EducationalAttainmentandEmploymentStatusbyLanguageSpokenatHomeforthePopulation25YearsandOver")</f>
        <v>EducationalAttainmentandEmploymentStatusbyLanguageSpokenatHomeforthePopulation25YearsandOver</v>
      </c>
      <c r="G1043" s="7"/>
      <c r="H1043" s="7" t="s">
        <v>3670</v>
      </c>
      <c r="I1043" s="1" t="s">
        <v>3671</v>
      </c>
      <c r="J1043" s="7" t="s">
        <v>3672</v>
      </c>
      <c r="K1043" s="1"/>
      <c r="L1043" s="1" t="s">
        <v>3673</v>
      </c>
      <c r="M1043" s="1"/>
      <c r="N1043" s="1"/>
      <c r="O1043" s="1" t="str">
        <f t="shared" si="1"/>
        <v> = 'B16010_051',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5.75" customHeight="1">
      <c r="A1044" s="2" t="s">
        <v>10</v>
      </c>
      <c r="B1044" s="1"/>
      <c r="C1044" s="7" t="s">
        <v>1158</v>
      </c>
      <c r="D1044" s="7" t="s">
        <v>1159</v>
      </c>
      <c r="E1044" s="7" t="s">
        <v>3473</v>
      </c>
      <c r="F1044" s="3" t="str">
        <f>IFERROR(__xludf.DUMMYFUNCTION("REGEXREPLACE(E1044, ""[^A-Za-z0-9]"", """")"),"EducationalAttainmentandEmploymentStatusbyLanguageSpokenatHomeforthePopulation25YearsandOver")</f>
        <v>EducationalAttainmentandEmploymentStatusbyLanguageSpokenatHomeforthePopulation25YearsandOver</v>
      </c>
      <c r="G1044" s="7"/>
      <c r="H1044" s="7" t="s">
        <v>3674</v>
      </c>
      <c r="I1044" s="1" t="s">
        <v>3675</v>
      </c>
      <c r="J1044" s="7" t="s">
        <v>3676</v>
      </c>
      <c r="K1044" s="1"/>
      <c r="L1044" s="1" t="s">
        <v>3677</v>
      </c>
      <c r="M1044" s="1"/>
      <c r="N1044" s="1"/>
      <c r="O1044" s="1" t="str">
        <f t="shared" si="1"/>
        <v> = 'B16010_052',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5.75" customHeight="1">
      <c r="A1045" s="2" t="s">
        <v>10</v>
      </c>
      <c r="B1045" s="1"/>
      <c r="C1045" s="7" t="s">
        <v>1158</v>
      </c>
      <c r="D1045" s="7" t="s">
        <v>1159</v>
      </c>
      <c r="E1045" s="7" t="s">
        <v>3473</v>
      </c>
      <c r="F1045" s="3" t="str">
        <f>IFERROR(__xludf.DUMMYFUNCTION("REGEXREPLACE(E1045, ""[^A-Za-z0-9]"", """")"),"EducationalAttainmentandEmploymentStatusbyLanguageSpokenatHomeforthePopulation25YearsandOver")</f>
        <v>EducationalAttainmentandEmploymentStatusbyLanguageSpokenatHomeforthePopulation25YearsandOver</v>
      </c>
      <c r="G1045" s="7"/>
      <c r="H1045" s="7" t="s">
        <v>3678</v>
      </c>
      <c r="I1045" s="1" t="s">
        <v>3679</v>
      </c>
      <c r="J1045" s="7" t="s">
        <v>3680</v>
      </c>
      <c r="K1045" s="1"/>
      <c r="L1045" s="1" t="s">
        <v>3681</v>
      </c>
      <c r="M1045" s="1"/>
      <c r="N1045" s="1"/>
      <c r="O1045" s="1" t="str">
        <f t="shared" si="1"/>
        <v> = 'B16010_053',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ht="15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ht="15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ht="15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ht="15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ht="15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ht="15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ht="15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ht="15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ht="15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ht="15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ht="15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ht="15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ht="15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ht="15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ht="15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ht="15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ht="15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ht="15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ht="15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ht="15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ht="15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ht="15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ht="15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ht="15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ht="15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ht="15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ht="15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ht="15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ht="15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ht="15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ht="15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ht="15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ht="15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ht="15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ht="15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ht="15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ht="15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ht="15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ht="15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ht="15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ht="15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ht="15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ht="15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ht="15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ht="15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ht="15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ht="15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ht="15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ht="15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ht="15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ht="15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ht="15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ht="15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ht="15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ht="15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ht="15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ht="15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ht="15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ht="15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ht="15.75" customHeight="1">
      <c r="A1214" s="2" t="s">
        <v>10</v>
      </c>
      <c r="B1214" s="1"/>
      <c r="C1214" s="7" t="s">
        <v>1158</v>
      </c>
      <c r="D1214" s="7"/>
      <c r="E1214" s="7" t="s">
        <v>3682</v>
      </c>
      <c r="F1214" s="7"/>
      <c r="G1214" s="7"/>
      <c r="H1214" s="7" t="s">
        <v>16</v>
      </c>
      <c r="I1214" s="7"/>
      <c r="J1214" s="7" t="s">
        <v>3683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ht="15.75" customHeight="1">
      <c r="A1215" s="2" t="s">
        <v>10</v>
      </c>
      <c r="B1215" s="1"/>
      <c r="C1215" s="7" t="s">
        <v>1158</v>
      </c>
      <c r="D1215" s="7"/>
      <c r="E1215" s="7" t="s">
        <v>3682</v>
      </c>
      <c r="F1215" s="7"/>
      <c r="G1215" s="7"/>
      <c r="H1215" s="7" t="s">
        <v>3684</v>
      </c>
      <c r="I1215" s="7"/>
      <c r="J1215" s="7" t="s">
        <v>3685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ht="15.75" customHeight="1">
      <c r="A1216" s="2" t="s">
        <v>10</v>
      </c>
      <c r="B1216" s="1"/>
      <c r="C1216" s="7" t="s">
        <v>1158</v>
      </c>
      <c r="D1216" s="7"/>
      <c r="E1216" s="7" t="s">
        <v>3682</v>
      </c>
      <c r="F1216" s="7"/>
      <c r="G1216" s="7"/>
      <c r="H1216" s="7" t="s">
        <v>3686</v>
      </c>
      <c r="I1216" s="7"/>
      <c r="J1216" s="7" t="s">
        <v>3687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ht="15.75" customHeight="1">
      <c r="A1217" s="2" t="s">
        <v>10</v>
      </c>
      <c r="B1217" s="1"/>
      <c r="C1217" s="7" t="s">
        <v>1158</v>
      </c>
      <c r="D1217" s="7"/>
      <c r="E1217" s="7" t="s">
        <v>3682</v>
      </c>
      <c r="F1217" s="7"/>
      <c r="G1217" s="7"/>
      <c r="H1217" s="7" t="s">
        <v>3688</v>
      </c>
      <c r="I1217" s="7"/>
      <c r="J1217" s="7" t="s">
        <v>3689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ht="15.75" customHeight="1">
      <c r="A1218" s="2" t="s">
        <v>10</v>
      </c>
      <c r="B1218" s="1"/>
      <c r="C1218" s="7" t="s">
        <v>1158</v>
      </c>
      <c r="D1218" s="7"/>
      <c r="E1218" s="7" t="s">
        <v>3682</v>
      </c>
      <c r="F1218" s="7"/>
      <c r="G1218" s="7"/>
      <c r="H1218" s="7" t="s">
        <v>3690</v>
      </c>
      <c r="I1218" s="7"/>
      <c r="J1218" s="7" t="s">
        <v>3691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ht="15.75" customHeight="1">
      <c r="A1219" s="2" t="s">
        <v>10</v>
      </c>
      <c r="B1219" s="1"/>
      <c r="C1219" s="7" t="s">
        <v>1158</v>
      </c>
      <c r="D1219" s="7"/>
      <c r="E1219" s="7" t="s">
        <v>3682</v>
      </c>
      <c r="F1219" s="7"/>
      <c r="G1219" s="7"/>
      <c r="H1219" s="7" t="s">
        <v>3692</v>
      </c>
      <c r="I1219" s="7"/>
      <c r="J1219" s="7" t="s">
        <v>3693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ht="15.75" customHeight="1">
      <c r="A1220" s="2" t="s">
        <v>10</v>
      </c>
      <c r="B1220" s="1"/>
      <c r="C1220" s="7" t="s">
        <v>1158</v>
      </c>
      <c r="D1220" s="7"/>
      <c r="E1220" s="7" t="s">
        <v>3682</v>
      </c>
      <c r="F1220" s="7"/>
      <c r="G1220" s="7"/>
      <c r="H1220" s="7" t="s">
        <v>3694</v>
      </c>
      <c r="I1220" s="7"/>
      <c r="J1220" s="7" t="s">
        <v>3695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ht="15.75" customHeight="1">
      <c r="A1221" s="2" t="s">
        <v>10</v>
      </c>
      <c r="B1221" s="1"/>
      <c r="C1221" s="7" t="s">
        <v>1158</v>
      </c>
      <c r="D1221" s="7"/>
      <c r="E1221" s="7" t="s">
        <v>3682</v>
      </c>
      <c r="F1221" s="7"/>
      <c r="G1221" s="7"/>
      <c r="H1221" s="7" t="s">
        <v>787</v>
      </c>
      <c r="I1221" s="7"/>
      <c r="J1221" s="7" t="s">
        <v>3696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ht="15.75" customHeight="1">
      <c r="A1222" s="2" t="s">
        <v>10</v>
      </c>
      <c r="B1222" s="1"/>
      <c r="C1222" s="7" t="s">
        <v>1158</v>
      </c>
      <c r="D1222" s="7"/>
      <c r="E1222" s="7" t="s">
        <v>3682</v>
      </c>
      <c r="F1222" s="7"/>
      <c r="G1222" s="7"/>
      <c r="H1222" s="7" t="s">
        <v>3697</v>
      </c>
      <c r="I1222" s="7"/>
      <c r="J1222" s="7" t="s">
        <v>3698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ht="15.75" customHeight="1">
      <c r="A1223" s="2" t="s">
        <v>10</v>
      </c>
      <c r="B1223" s="1"/>
      <c r="C1223" s="7" t="s">
        <v>1158</v>
      </c>
      <c r="D1223" s="7"/>
      <c r="E1223" s="7" t="s">
        <v>3682</v>
      </c>
      <c r="F1223" s="7"/>
      <c r="G1223" s="7"/>
      <c r="H1223" s="7" t="s">
        <v>3699</v>
      </c>
      <c r="I1223" s="7"/>
      <c r="J1223" s="7" t="s">
        <v>3700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ht="15.75" customHeight="1">
      <c r="A1224" s="2" t="s">
        <v>10</v>
      </c>
      <c r="B1224" s="1"/>
      <c r="C1224" s="7" t="s">
        <v>1158</v>
      </c>
      <c r="D1224" s="7"/>
      <c r="E1224" s="7" t="s">
        <v>3701</v>
      </c>
      <c r="F1224" s="7"/>
      <c r="G1224" s="7"/>
      <c r="H1224" s="7" t="s">
        <v>16</v>
      </c>
      <c r="I1224" s="7"/>
      <c r="J1224" s="7" t="s">
        <v>3702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ht="15.75" customHeight="1">
      <c r="A1225" s="2" t="s">
        <v>10</v>
      </c>
      <c r="B1225" s="1"/>
      <c r="C1225" s="7" t="s">
        <v>1158</v>
      </c>
      <c r="D1225" s="7"/>
      <c r="E1225" s="7" t="s">
        <v>3701</v>
      </c>
      <c r="F1225" s="7"/>
      <c r="G1225" s="7"/>
      <c r="H1225" s="7" t="s">
        <v>3684</v>
      </c>
      <c r="I1225" s="7"/>
      <c r="J1225" s="7" t="s">
        <v>3703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ht="15.75" customHeight="1">
      <c r="A1226" s="2" t="s">
        <v>10</v>
      </c>
      <c r="B1226" s="1"/>
      <c r="C1226" s="7" t="s">
        <v>1158</v>
      </c>
      <c r="D1226" s="7"/>
      <c r="E1226" s="7" t="s">
        <v>3701</v>
      </c>
      <c r="F1226" s="7"/>
      <c r="G1226" s="7"/>
      <c r="H1226" s="7" t="s">
        <v>3686</v>
      </c>
      <c r="I1226" s="7"/>
      <c r="J1226" s="7" t="s">
        <v>3704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ht="15.75" customHeight="1">
      <c r="A1227" s="2" t="s">
        <v>10</v>
      </c>
      <c r="B1227" s="1"/>
      <c r="C1227" s="7" t="s">
        <v>1158</v>
      </c>
      <c r="D1227" s="7"/>
      <c r="E1227" s="7" t="s">
        <v>3701</v>
      </c>
      <c r="F1227" s="7"/>
      <c r="G1227" s="7"/>
      <c r="H1227" s="7" t="s">
        <v>3688</v>
      </c>
      <c r="I1227" s="7"/>
      <c r="J1227" s="7" t="s">
        <v>3705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ht="15.75" customHeight="1">
      <c r="A1228" s="2" t="s">
        <v>10</v>
      </c>
      <c r="B1228" s="1"/>
      <c r="C1228" s="7" t="s">
        <v>1158</v>
      </c>
      <c r="D1228" s="7"/>
      <c r="E1228" s="7" t="s">
        <v>3701</v>
      </c>
      <c r="F1228" s="7"/>
      <c r="G1228" s="7"/>
      <c r="H1228" s="7" t="s">
        <v>3690</v>
      </c>
      <c r="I1228" s="7"/>
      <c r="J1228" s="7" t="s">
        <v>3706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ht="15.75" customHeight="1">
      <c r="A1229" s="2" t="s">
        <v>10</v>
      </c>
      <c r="B1229" s="1"/>
      <c r="C1229" s="7" t="s">
        <v>1158</v>
      </c>
      <c r="D1229" s="7"/>
      <c r="E1229" s="7" t="s">
        <v>3701</v>
      </c>
      <c r="F1229" s="7"/>
      <c r="G1229" s="7"/>
      <c r="H1229" s="7" t="s">
        <v>3692</v>
      </c>
      <c r="I1229" s="7"/>
      <c r="J1229" s="7" t="s">
        <v>3707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ht="15.75" customHeight="1">
      <c r="A1230" s="2" t="s">
        <v>10</v>
      </c>
      <c r="B1230" s="1"/>
      <c r="C1230" s="7" t="s">
        <v>1158</v>
      </c>
      <c r="D1230" s="7"/>
      <c r="E1230" s="7" t="s">
        <v>3701</v>
      </c>
      <c r="F1230" s="7"/>
      <c r="G1230" s="7"/>
      <c r="H1230" s="7" t="s">
        <v>3694</v>
      </c>
      <c r="I1230" s="7"/>
      <c r="J1230" s="7" t="s">
        <v>3708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ht="15.75" customHeight="1">
      <c r="A1231" s="2" t="s">
        <v>10</v>
      </c>
      <c r="B1231" s="1"/>
      <c r="C1231" s="7" t="s">
        <v>1158</v>
      </c>
      <c r="D1231" s="7"/>
      <c r="E1231" s="7" t="s">
        <v>3701</v>
      </c>
      <c r="F1231" s="7"/>
      <c r="G1231" s="7"/>
      <c r="H1231" s="7" t="s">
        <v>787</v>
      </c>
      <c r="I1231" s="7"/>
      <c r="J1231" s="7" t="s">
        <v>3709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ht="15.75" customHeight="1">
      <c r="A1232" s="2" t="s">
        <v>10</v>
      </c>
      <c r="B1232" s="1"/>
      <c r="C1232" s="7" t="s">
        <v>1158</v>
      </c>
      <c r="D1232" s="7"/>
      <c r="E1232" s="7" t="s">
        <v>3701</v>
      </c>
      <c r="F1232" s="7"/>
      <c r="G1232" s="7"/>
      <c r="H1232" s="7" t="s">
        <v>3697</v>
      </c>
      <c r="I1232" s="7"/>
      <c r="J1232" s="7" t="s">
        <v>3710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ht="15.75" customHeight="1">
      <c r="A1233" s="2" t="s">
        <v>10</v>
      </c>
      <c r="B1233" s="1"/>
      <c r="C1233" s="7" t="s">
        <v>1158</v>
      </c>
      <c r="D1233" s="7"/>
      <c r="E1233" s="7" t="s">
        <v>3701</v>
      </c>
      <c r="F1233" s="7"/>
      <c r="G1233" s="7"/>
      <c r="H1233" s="7" t="s">
        <v>3699</v>
      </c>
      <c r="I1233" s="7"/>
      <c r="J1233" s="7" t="s">
        <v>3711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ht="15.75" customHeight="1">
      <c r="A1234" s="2" t="s">
        <v>10</v>
      </c>
      <c r="B1234" s="1"/>
      <c r="C1234" s="7" t="s">
        <v>1158</v>
      </c>
      <c r="D1234" s="7"/>
      <c r="E1234" s="7" t="s">
        <v>3712</v>
      </c>
      <c r="F1234" s="7"/>
      <c r="G1234" s="7"/>
      <c r="H1234" s="7" t="s">
        <v>16</v>
      </c>
      <c r="I1234" s="7"/>
      <c r="J1234" s="7" t="s">
        <v>3713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ht="15.75" customHeight="1">
      <c r="A1235" s="2" t="s">
        <v>10</v>
      </c>
      <c r="B1235" s="1"/>
      <c r="C1235" s="7" t="s">
        <v>1158</v>
      </c>
      <c r="D1235" s="7"/>
      <c r="E1235" s="7" t="s">
        <v>3712</v>
      </c>
      <c r="F1235" s="7"/>
      <c r="G1235" s="7"/>
      <c r="H1235" s="7" t="s">
        <v>3684</v>
      </c>
      <c r="I1235" s="7"/>
      <c r="J1235" s="7" t="s">
        <v>3714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ht="15.75" customHeight="1">
      <c r="A1236" s="2" t="s">
        <v>10</v>
      </c>
      <c r="B1236" s="1"/>
      <c r="C1236" s="7" t="s">
        <v>1158</v>
      </c>
      <c r="D1236" s="7"/>
      <c r="E1236" s="7" t="s">
        <v>3712</v>
      </c>
      <c r="F1236" s="7"/>
      <c r="G1236" s="7"/>
      <c r="H1236" s="7" t="s">
        <v>3686</v>
      </c>
      <c r="I1236" s="7"/>
      <c r="J1236" s="7" t="s">
        <v>3715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ht="15.75" customHeight="1">
      <c r="A1237" s="2" t="s">
        <v>10</v>
      </c>
      <c r="B1237" s="1"/>
      <c r="C1237" s="7" t="s">
        <v>1158</v>
      </c>
      <c r="D1237" s="7"/>
      <c r="E1237" s="7" t="s">
        <v>3712</v>
      </c>
      <c r="F1237" s="7"/>
      <c r="G1237" s="7"/>
      <c r="H1237" s="7" t="s">
        <v>3688</v>
      </c>
      <c r="I1237" s="7"/>
      <c r="J1237" s="7" t="s">
        <v>3716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ht="15.75" customHeight="1">
      <c r="A1238" s="2" t="s">
        <v>10</v>
      </c>
      <c r="B1238" s="1"/>
      <c r="C1238" s="7" t="s">
        <v>1158</v>
      </c>
      <c r="D1238" s="7"/>
      <c r="E1238" s="7" t="s">
        <v>3712</v>
      </c>
      <c r="F1238" s="7"/>
      <c r="G1238" s="7"/>
      <c r="H1238" s="7" t="s">
        <v>3690</v>
      </c>
      <c r="I1238" s="7"/>
      <c r="J1238" s="7" t="s">
        <v>3717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ht="15.75" customHeight="1">
      <c r="A1239" s="2" t="s">
        <v>10</v>
      </c>
      <c r="B1239" s="1"/>
      <c r="C1239" s="7" t="s">
        <v>1158</v>
      </c>
      <c r="D1239" s="7"/>
      <c r="E1239" s="7" t="s">
        <v>3712</v>
      </c>
      <c r="F1239" s="7"/>
      <c r="G1239" s="7"/>
      <c r="H1239" s="7" t="s">
        <v>3692</v>
      </c>
      <c r="I1239" s="7"/>
      <c r="J1239" s="7" t="s">
        <v>3718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ht="15.75" customHeight="1">
      <c r="A1240" s="2" t="s">
        <v>10</v>
      </c>
      <c r="B1240" s="1"/>
      <c r="C1240" s="7" t="s">
        <v>1158</v>
      </c>
      <c r="D1240" s="7"/>
      <c r="E1240" s="7" t="s">
        <v>3712</v>
      </c>
      <c r="F1240" s="7"/>
      <c r="G1240" s="7"/>
      <c r="H1240" s="7" t="s">
        <v>3694</v>
      </c>
      <c r="I1240" s="7"/>
      <c r="J1240" s="7" t="s">
        <v>3719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ht="15.75" customHeight="1">
      <c r="A1241" s="2" t="s">
        <v>10</v>
      </c>
      <c r="B1241" s="1"/>
      <c r="C1241" s="7" t="s">
        <v>1158</v>
      </c>
      <c r="D1241" s="7"/>
      <c r="E1241" s="7" t="s">
        <v>3712</v>
      </c>
      <c r="F1241" s="7"/>
      <c r="G1241" s="7"/>
      <c r="H1241" s="7" t="s">
        <v>787</v>
      </c>
      <c r="I1241" s="7"/>
      <c r="J1241" s="7" t="s">
        <v>3720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ht="15.75" customHeight="1">
      <c r="A1242" s="2" t="s">
        <v>10</v>
      </c>
      <c r="B1242" s="1"/>
      <c r="C1242" s="7" t="s">
        <v>1158</v>
      </c>
      <c r="D1242" s="7"/>
      <c r="E1242" s="7" t="s">
        <v>3712</v>
      </c>
      <c r="F1242" s="7"/>
      <c r="G1242" s="7"/>
      <c r="H1242" s="7" t="s">
        <v>3697</v>
      </c>
      <c r="I1242" s="7"/>
      <c r="J1242" s="7" t="s">
        <v>3721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ht="15.75" customHeight="1">
      <c r="A1243" s="2" t="s">
        <v>10</v>
      </c>
      <c r="B1243" s="1"/>
      <c r="C1243" s="7" t="s">
        <v>1158</v>
      </c>
      <c r="D1243" s="7"/>
      <c r="E1243" s="7" t="s">
        <v>3712</v>
      </c>
      <c r="F1243" s="7"/>
      <c r="G1243" s="7"/>
      <c r="H1243" s="7" t="s">
        <v>3699</v>
      </c>
      <c r="I1243" s="7"/>
      <c r="J1243" s="7" t="s">
        <v>3722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ht="15.75" customHeight="1">
      <c r="A1244" s="2" t="s">
        <v>10</v>
      </c>
      <c r="B1244" s="1"/>
      <c r="C1244" s="7" t="s">
        <v>1158</v>
      </c>
      <c r="D1244" s="7"/>
      <c r="E1244" s="7" t="s">
        <v>3723</v>
      </c>
      <c r="F1244" s="7"/>
      <c r="G1244" s="7"/>
      <c r="H1244" s="7" t="s">
        <v>16</v>
      </c>
      <c r="I1244" s="7"/>
      <c r="J1244" s="7" t="s">
        <v>3724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ht="15.75" customHeight="1">
      <c r="A1245" s="2" t="s">
        <v>10</v>
      </c>
      <c r="B1245" s="1"/>
      <c r="C1245" s="7" t="s">
        <v>1158</v>
      </c>
      <c r="D1245" s="7"/>
      <c r="E1245" s="7" t="s">
        <v>3723</v>
      </c>
      <c r="F1245" s="7"/>
      <c r="G1245" s="7"/>
      <c r="H1245" s="7" t="s">
        <v>3684</v>
      </c>
      <c r="I1245" s="7"/>
      <c r="J1245" s="7" t="s">
        <v>3725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ht="15.75" customHeight="1">
      <c r="A1246" s="2" t="s">
        <v>10</v>
      </c>
      <c r="B1246" s="1"/>
      <c r="C1246" s="7" t="s">
        <v>1158</v>
      </c>
      <c r="D1246" s="7"/>
      <c r="E1246" s="7" t="s">
        <v>3723</v>
      </c>
      <c r="F1246" s="7"/>
      <c r="G1246" s="7"/>
      <c r="H1246" s="7" t="s">
        <v>3686</v>
      </c>
      <c r="I1246" s="7"/>
      <c r="J1246" s="7" t="s">
        <v>3726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ht="15.75" customHeight="1">
      <c r="A1247" s="2" t="s">
        <v>10</v>
      </c>
      <c r="B1247" s="1"/>
      <c r="C1247" s="7" t="s">
        <v>1158</v>
      </c>
      <c r="D1247" s="7"/>
      <c r="E1247" s="7" t="s">
        <v>3723</v>
      </c>
      <c r="F1247" s="7"/>
      <c r="G1247" s="7"/>
      <c r="H1247" s="7" t="s">
        <v>3688</v>
      </c>
      <c r="I1247" s="7"/>
      <c r="J1247" s="7" t="s">
        <v>3727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ht="15.75" customHeight="1">
      <c r="A1248" s="2" t="s">
        <v>10</v>
      </c>
      <c r="B1248" s="1"/>
      <c r="C1248" s="7" t="s">
        <v>1158</v>
      </c>
      <c r="D1248" s="7"/>
      <c r="E1248" s="7" t="s">
        <v>3723</v>
      </c>
      <c r="F1248" s="7"/>
      <c r="G1248" s="7"/>
      <c r="H1248" s="7" t="s">
        <v>3690</v>
      </c>
      <c r="I1248" s="7"/>
      <c r="J1248" s="7" t="s">
        <v>3728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ht="15.75" customHeight="1">
      <c r="A1249" s="2" t="s">
        <v>10</v>
      </c>
      <c r="B1249" s="1"/>
      <c r="C1249" s="7" t="s">
        <v>1158</v>
      </c>
      <c r="D1249" s="7"/>
      <c r="E1249" s="7" t="s">
        <v>3723</v>
      </c>
      <c r="F1249" s="7"/>
      <c r="G1249" s="7"/>
      <c r="H1249" s="7" t="s">
        <v>3692</v>
      </c>
      <c r="I1249" s="7"/>
      <c r="J1249" s="7" t="s">
        <v>3729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ht="15.75" customHeight="1">
      <c r="A1250" s="2" t="s">
        <v>10</v>
      </c>
      <c r="B1250" s="1"/>
      <c r="C1250" s="7" t="s">
        <v>1158</v>
      </c>
      <c r="D1250" s="7"/>
      <c r="E1250" s="7" t="s">
        <v>3723</v>
      </c>
      <c r="F1250" s="7"/>
      <c r="G1250" s="7"/>
      <c r="H1250" s="7" t="s">
        <v>3694</v>
      </c>
      <c r="I1250" s="7"/>
      <c r="J1250" s="7" t="s">
        <v>3730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ht="15.75" customHeight="1">
      <c r="A1251" s="2" t="s">
        <v>10</v>
      </c>
      <c r="B1251" s="1"/>
      <c r="C1251" s="7" t="s">
        <v>1158</v>
      </c>
      <c r="D1251" s="7"/>
      <c r="E1251" s="7" t="s">
        <v>3723</v>
      </c>
      <c r="F1251" s="7"/>
      <c r="G1251" s="7"/>
      <c r="H1251" s="7" t="s">
        <v>787</v>
      </c>
      <c r="I1251" s="7"/>
      <c r="J1251" s="7" t="s">
        <v>3731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ht="15.75" customHeight="1">
      <c r="A1252" s="2" t="s">
        <v>10</v>
      </c>
      <c r="B1252" s="1"/>
      <c r="C1252" s="7" t="s">
        <v>1158</v>
      </c>
      <c r="D1252" s="7"/>
      <c r="E1252" s="7" t="s">
        <v>3723</v>
      </c>
      <c r="F1252" s="7"/>
      <c r="G1252" s="7"/>
      <c r="H1252" s="7" t="s">
        <v>3697</v>
      </c>
      <c r="I1252" s="7"/>
      <c r="J1252" s="7" t="s">
        <v>3732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ht="15.75" customHeight="1">
      <c r="A1253" s="2" t="s">
        <v>10</v>
      </c>
      <c r="B1253" s="1"/>
      <c r="C1253" s="7" t="s">
        <v>1158</v>
      </c>
      <c r="D1253" s="7"/>
      <c r="E1253" s="7" t="s">
        <v>3723</v>
      </c>
      <c r="F1253" s="7"/>
      <c r="G1253" s="7"/>
      <c r="H1253" s="7" t="s">
        <v>3699</v>
      </c>
      <c r="I1253" s="7"/>
      <c r="J1253" s="7" t="s">
        <v>3733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ht="15.75" customHeight="1">
      <c r="A1254" s="2" t="s">
        <v>10</v>
      </c>
      <c r="B1254" s="1"/>
      <c r="C1254" s="7" t="s">
        <v>1158</v>
      </c>
      <c r="D1254" s="7"/>
      <c r="E1254" s="7" t="s">
        <v>3734</v>
      </c>
      <c r="F1254" s="7"/>
      <c r="G1254" s="7"/>
      <c r="H1254" s="7" t="s">
        <v>16</v>
      </c>
      <c r="I1254" s="7"/>
      <c r="J1254" s="7" t="s">
        <v>3735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ht="15.75" customHeight="1">
      <c r="A1255" s="2" t="s">
        <v>10</v>
      </c>
      <c r="B1255" s="1"/>
      <c r="C1255" s="7" t="s">
        <v>1158</v>
      </c>
      <c r="D1255" s="7"/>
      <c r="E1255" s="7" t="s">
        <v>3734</v>
      </c>
      <c r="F1255" s="7"/>
      <c r="G1255" s="7"/>
      <c r="H1255" s="7" t="s">
        <v>3684</v>
      </c>
      <c r="I1255" s="7"/>
      <c r="J1255" s="7" t="s">
        <v>3736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ht="15.75" customHeight="1">
      <c r="A1256" s="2" t="s">
        <v>10</v>
      </c>
      <c r="B1256" s="1"/>
      <c r="C1256" s="7" t="s">
        <v>1158</v>
      </c>
      <c r="D1256" s="7"/>
      <c r="E1256" s="7" t="s">
        <v>3734</v>
      </c>
      <c r="F1256" s="7"/>
      <c r="G1256" s="7"/>
      <c r="H1256" s="7" t="s">
        <v>3686</v>
      </c>
      <c r="I1256" s="7"/>
      <c r="J1256" s="7" t="s">
        <v>3737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ht="15.75" customHeight="1">
      <c r="A1257" s="2" t="s">
        <v>10</v>
      </c>
      <c r="B1257" s="1"/>
      <c r="C1257" s="7" t="s">
        <v>1158</v>
      </c>
      <c r="D1257" s="7"/>
      <c r="E1257" s="7" t="s">
        <v>3734</v>
      </c>
      <c r="F1257" s="7"/>
      <c r="G1257" s="7"/>
      <c r="H1257" s="7" t="s">
        <v>3688</v>
      </c>
      <c r="I1257" s="7"/>
      <c r="J1257" s="7" t="s">
        <v>3738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ht="15.75" customHeight="1">
      <c r="A1258" s="2" t="s">
        <v>10</v>
      </c>
      <c r="B1258" s="1"/>
      <c r="C1258" s="7" t="s">
        <v>1158</v>
      </c>
      <c r="D1258" s="7"/>
      <c r="E1258" s="7" t="s">
        <v>3734</v>
      </c>
      <c r="F1258" s="7"/>
      <c r="G1258" s="7"/>
      <c r="H1258" s="7" t="s">
        <v>3690</v>
      </c>
      <c r="I1258" s="7"/>
      <c r="J1258" s="7" t="s">
        <v>3739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ht="15.75" customHeight="1">
      <c r="A1259" s="2" t="s">
        <v>10</v>
      </c>
      <c r="B1259" s="1"/>
      <c r="C1259" s="7" t="s">
        <v>1158</v>
      </c>
      <c r="D1259" s="7"/>
      <c r="E1259" s="7" t="s">
        <v>3734</v>
      </c>
      <c r="F1259" s="7"/>
      <c r="G1259" s="7"/>
      <c r="H1259" s="7" t="s">
        <v>3692</v>
      </c>
      <c r="I1259" s="7"/>
      <c r="J1259" s="7" t="s">
        <v>3740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ht="15.75" customHeight="1">
      <c r="A1260" s="2" t="s">
        <v>10</v>
      </c>
      <c r="B1260" s="1"/>
      <c r="C1260" s="7" t="s">
        <v>1158</v>
      </c>
      <c r="D1260" s="7"/>
      <c r="E1260" s="7" t="s">
        <v>3734</v>
      </c>
      <c r="F1260" s="7"/>
      <c r="G1260" s="7"/>
      <c r="H1260" s="7" t="s">
        <v>3694</v>
      </c>
      <c r="I1260" s="7"/>
      <c r="J1260" s="7" t="s">
        <v>3741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ht="15.75" customHeight="1">
      <c r="A1261" s="2" t="s">
        <v>10</v>
      </c>
      <c r="B1261" s="1"/>
      <c r="C1261" s="7" t="s">
        <v>1158</v>
      </c>
      <c r="D1261" s="7"/>
      <c r="E1261" s="7" t="s">
        <v>3734</v>
      </c>
      <c r="F1261" s="7"/>
      <c r="G1261" s="7"/>
      <c r="H1261" s="7" t="s">
        <v>787</v>
      </c>
      <c r="I1261" s="7"/>
      <c r="J1261" s="7" t="s">
        <v>3742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ht="15.75" customHeight="1">
      <c r="A1262" s="2" t="s">
        <v>10</v>
      </c>
      <c r="B1262" s="1"/>
      <c r="C1262" s="7" t="s">
        <v>1158</v>
      </c>
      <c r="D1262" s="7"/>
      <c r="E1262" s="7" t="s">
        <v>3734</v>
      </c>
      <c r="F1262" s="7"/>
      <c r="G1262" s="7"/>
      <c r="H1262" s="7" t="s">
        <v>3697</v>
      </c>
      <c r="I1262" s="7"/>
      <c r="J1262" s="7" t="s">
        <v>3743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ht="15.75" customHeight="1">
      <c r="A1263" s="2" t="s">
        <v>10</v>
      </c>
      <c r="B1263" s="1"/>
      <c r="C1263" s="7" t="s">
        <v>1158</v>
      </c>
      <c r="D1263" s="7"/>
      <c r="E1263" s="7" t="s">
        <v>3734</v>
      </c>
      <c r="F1263" s="7"/>
      <c r="G1263" s="7"/>
      <c r="H1263" s="7" t="s">
        <v>3699</v>
      </c>
      <c r="I1263" s="7"/>
      <c r="J1263" s="7" t="s">
        <v>3744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ht="15.75" customHeight="1">
      <c r="A1264" s="2" t="s">
        <v>10</v>
      </c>
      <c r="B1264" s="1"/>
      <c r="C1264" s="7" t="s">
        <v>1158</v>
      </c>
      <c r="D1264" s="7"/>
      <c r="E1264" s="7" t="s">
        <v>3745</v>
      </c>
      <c r="F1264" s="7"/>
      <c r="G1264" s="7"/>
      <c r="H1264" s="7" t="s">
        <v>16</v>
      </c>
      <c r="I1264" s="7"/>
      <c r="J1264" s="7" t="s">
        <v>3746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ht="15.75" customHeight="1">
      <c r="A1265" s="2" t="s">
        <v>10</v>
      </c>
      <c r="B1265" s="1"/>
      <c r="C1265" s="7" t="s">
        <v>1158</v>
      </c>
      <c r="D1265" s="7"/>
      <c r="E1265" s="7" t="s">
        <v>3745</v>
      </c>
      <c r="F1265" s="7"/>
      <c r="G1265" s="7"/>
      <c r="H1265" s="7" t="s">
        <v>3684</v>
      </c>
      <c r="I1265" s="7"/>
      <c r="J1265" s="7" t="s">
        <v>3747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ht="15.75" customHeight="1">
      <c r="A1266" s="2" t="s">
        <v>10</v>
      </c>
      <c r="B1266" s="1"/>
      <c r="C1266" s="7" t="s">
        <v>1158</v>
      </c>
      <c r="D1266" s="7"/>
      <c r="E1266" s="7" t="s">
        <v>3745</v>
      </c>
      <c r="F1266" s="7"/>
      <c r="G1266" s="7"/>
      <c r="H1266" s="7" t="s">
        <v>3686</v>
      </c>
      <c r="I1266" s="7"/>
      <c r="J1266" s="7" t="s">
        <v>3748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ht="15.75" customHeight="1">
      <c r="A1267" s="2" t="s">
        <v>10</v>
      </c>
      <c r="B1267" s="1"/>
      <c r="C1267" s="7" t="s">
        <v>1158</v>
      </c>
      <c r="D1267" s="7"/>
      <c r="E1267" s="7" t="s">
        <v>3745</v>
      </c>
      <c r="F1267" s="7"/>
      <c r="G1267" s="7"/>
      <c r="H1267" s="7" t="s">
        <v>3688</v>
      </c>
      <c r="I1267" s="7"/>
      <c r="J1267" s="7" t="s">
        <v>3749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ht="15.75" customHeight="1">
      <c r="A1268" s="2" t="s">
        <v>10</v>
      </c>
      <c r="B1268" s="1"/>
      <c r="C1268" s="7" t="s">
        <v>1158</v>
      </c>
      <c r="D1268" s="7"/>
      <c r="E1268" s="7" t="s">
        <v>3745</v>
      </c>
      <c r="F1268" s="7"/>
      <c r="G1268" s="7"/>
      <c r="H1268" s="7" t="s">
        <v>3690</v>
      </c>
      <c r="I1268" s="7"/>
      <c r="J1268" s="7" t="s">
        <v>3750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ht="15.75" customHeight="1">
      <c r="A1269" s="2" t="s">
        <v>10</v>
      </c>
      <c r="B1269" s="1"/>
      <c r="C1269" s="7" t="s">
        <v>1158</v>
      </c>
      <c r="D1269" s="7"/>
      <c r="E1269" s="7" t="s">
        <v>3745</v>
      </c>
      <c r="F1269" s="7"/>
      <c r="G1269" s="7"/>
      <c r="H1269" s="7" t="s">
        <v>3692</v>
      </c>
      <c r="I1269" s="7"/>
      <c r="J1269" s="7" t="s">
        <v>3751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ht="15.75" customHeight="1">
      <c r="A1270" s="2" t="s">
        <v>10</v>
      </c>
      <c r="B1270" s="1"/>
      <c r="C1270" s="7" t="s">
        <v>1158</v>
      </c>
      <c r="D1270" s="7"/>
      <c r="E1270" s="7" t="s">
        <v>3745</v>
      </c>
      <c r="F1270" s="7"/>
      <c r="G1270" s="7"/>
      <c r="H1270" s="7" t="s">
        <v>3694</v>
      </c>
      <c r="I1270" s="7"/>
      <c r="J1270" s="7" t="s">
        <v>3752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ht="15.75" customHeight="1">
      <c r="A1271" s="2" t="s">
        <v>10</v>
      </c>
      <c r="B1271" s="1"/>
      <c r="C1271" s="7" t="s">
        <v>1158</v>
      </c>
      <c r="D1271" s="7"/>
      <c r="E1271" s="7" t="s">
        <v>3745</v>
      </c>
      <c r="F1271" s="7"/>
      <c r="G1271" s="7"/>
      <c r="H1271" s="7" t="s">
        <v>787</v>
      </c>
      <c r="I1271" s="7"/>
      <c r="J1271" s="7" t="s">
        <v>3753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ht="15.75" customHeight="1">
      <c r="A1272" s="2" t="s">
        <v>10</v>
      </c>
      <c r="B1272" s="1"/>
      <c r="C1272" s="7" t="s">
        <v>1158</v>
      </c>
      <c r="D1272" s="7"/>
      <c r="E1272" s="7" t="s">
        <v>3745</v>
      </c>
      <c r="F1272" s="7"/>
      <c r="G1272" s="7"/>
      <c r="H1272" s="7" t="s">
        <v>3697</v>
      </c>
      <c r="I1272" s="7"/>
      <c r="J1272" s="7" t="s">
        <v>3754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ht="15.75" customHeight="1">
      <c r="A1273" s="2" t="s">
        <v>10</v>
      </c>
      <c r="B1273" s="1"/>
      <c r="C1273" s="7" t="s">
        <v>1158</v>
      </c>
      <c r="D1273" s="7"/>
      <c r="E1273" s="7" t="s">
        <v>3745</v>
      </c>
      <c r="F1273" s="7"/>
      <c r="G1273" s="7"/>
      <c r="H1273" s="7" t="s">
        <v>3699</v>
      </c>
      <c r="I1273" s="7"/>
      <c r="J1273" s="7" t="s">
        <v>3755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ht="15.75" customHeight="1">
      <c r="A1274" s="2" t="s">
        <v>10</v>
      </c>
      <c r="B1274" s="1"/>
      <c r="C1274" s="7" t="s">
        <v>1158</v>
      </c>
      <c r="D1274" s="7"/>
      <c r="E1274" s="7" t="s">
        <v>3756</v>
      </c>
      <c r="F1274" s="7"/>
      <c r="G1274" s="7"/>
      <c r="H1274" s="7" t="s">
        <v>16</v>
      </c>
      <c r="I1274" s="7"/>
      <c r="J1274" s="7" t="s">
        <v>3757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ht="15.75" customHeight="1">
      <c r="A1275" s="2" t="s">
        <v>10</v>
      </c>
      <c r="B1275" s="1"/>
      <c r="C1275" s="7" t="s">
        <v>1158</v>
      </c>
      <c r="D1275" s="7"/>
      <c r="E1275" s="7" t="s">
        <v>3756</v>
      </c>
      <c r="F1275" s="7"/>
      <c r="G1275" s="7"/>
      <c r="H1275" s="7" t="s">
        <v>3684</v>
      </c>
      <c r="I1275" s="7"/>
      <c r="J1275" s="7" t="s">
        <v>3758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ht="15.75" customHeight="1">
      <c r="A1276" s="2" t="s">
        <v>10</v>
      </c>
      <c r="B1276" s="1"/>
      <c r="C1276" s="7" t="s">
        <v>1158</v>
      </c>
      <c r="D1276" s="7"/>
      <c r="E1276" s="7" t="s">
        <v>3756</v>
      </c>
      <c r="F1276" s="7"/>
      <c r="G1276" s="7"/>
      <c r="H1276" s="7" t="s">
        <v>3686</v>
      </c>
      <c r="I1276" s="7"/>
      <c r="J1276" s="7" t="s">
        <v>3759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ht="15.75" customHeight="1">
      <c r="A1277" s="2" t="s">
        <v>10</v>
      </c>
      <c r="B1277" s="1"/>
      <c r="C1277" s="7" t="s">
        <v>1158</v>
      </c>
      <c r="D1277" s="7"/>
      <c r="E1277" s="7" t="s">
        <v>3756</v>
      </c>
      <c r="F1277" s="7"/>
      <c r="G1277" s="7"/>
      <c r="H1277" s="7" t="s">
        <v>3688</v>
      </c>
      <c r="I1277" s="7"/>
      <c r="J1277" s="7" t="s">
        <v>3760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ht="15.75" customHeight="1">
      <c r="A1278" s="2" t="s">
        <v>10</v>
      </c>
      <c r="B1278" s="1"/>
      <c r="C1278" s="7" t="s">
        <v>1158</v>
      </c>
      <c r="D1278" s="7"/>
      <c r="E1278" s="7" t="s">
        <v>3756</v>
      </c>
      <c r="F1278" s="7"/>
      <c r="G1278" s="7"/>
      <c r="H1278" s="7" t="s">
        <v>3690</v>
      </c>
      <c r="I1278" s="7"/>
      <c r="J1278" s="7" t="s">
        <v>3761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ht="15.75" customHeight="1">
      <c r="A1279" s="2" t="s">
        <v>10</v>
      </c>
      <c r="B1279" s="1"/>
      <c r="C1279" s="7" t="s">
        <v>1158</v>
      </c>
      <c r="D1279" s="7"/>
      <c r="E1279" s="7" t="s">
        <v>3756</v>
      </c>
      <c r="F1279" s="7"/>
      <c r="G1279" s="7"/>
      <c r="H1279" s="7" t="s">
        <v>3692</v>
      </c>
      <c r="I1279" s="7"/>
      <c r="J1279" s="7" t="s">
        <v>3762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ht="15.75" customHeight="1">
      <c r="A1280" s="2" t="s">
        <v>10</v>
      </c>
      <c r="B1280" s="1"/>
      <c r="C1280" s="7" t="s">
        <v>1158</v>
      </c>
      <c r="D1280" s="7"/>
      <c r="E1280" s="7" t="s">
        <v>3756</v>
      </c>
      <c r="F1280" s="7"/>
      <c r="G1280" s="7"/>
      <c r="H1280" s="7" t="s">
        <v>3694</v>
      </c>
      <c r="I1280" s="7"/>
      <c r="J1280" s="7" t="s">
        <v>3763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ht="15.75" customHeight="1">
      <c r="A1281" s="2" t="s">
        <v>10</v>
      </c>
      <c r="B1281" s="1"/>
      <c r="C1281" s="7" t="s">
        <v>1158</v>
      </c>
      <c r="D1281" s="7"/>
      <c r="E1281" s="7" t="s">
        <v>3756</v>
      </c>
      <c r="F1281" s="7"/>
      <c r="G1281" s="7"/>
      <c r="H1281" s="7" t="s">
        <v>787</v>
      </c>
      <c r="I1281" s="7"/>
      <c r="J1281" s="7" t="s">
        <v>3764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ht="15.75" customHeight="1">
      <c r="A1282" s="2" t="s">
        <v>10</v>
      </c>
      <c r="B1282" s="1"/>
      <c r="C1282" s="7" t="s">
        <v>1158</v>
      </c>
      <c r="D1282" s="7"/>
      <c r="E1282" s="7" t="s">
        <v>3756</v>
      </c>
      <c r="F1282" s="7"/>
      <c r="G1282" s="7"/>
      <c r="H1282" s="7" t="s">
        <v>3697</v>
      </c>
      <c r="I1282" s="7"/>
      <c r="J1282" s="7" t="s">
        <v>3765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ht="15.75" customHeight="1">
      <c r="A1283" s="2" t="s">
        <v>10</v>
      </c>
      <c r="B1283" s="1"/>
      <c r="C1283" s="7" t="s">
        <v>1158</v>
      </c>
      <c r="D1283" s="7"/>
      <c r="E1283" s="7" t="s">
        <v>3756</v>
      </c>
      <c r="F1283" s="7"/>
      <c r="G1283" s="7"/>
      <c r="H1283" s="7" t="s">
        <v>3699</v>
      </c>
      <c r="I1283" s="7"/>
      <c r="J1283" s="7" t="s">
        <v>3766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ht="15.75" customHeight="1">
      <c r="A1284" s="2" t="s">
        <v>10</v>
      </c>
      <c r="B1284" s="1"/>
      <c r="C1284" s="7" t="s">
        <v>1158</v>
      </c>
      <c r="D1284" s="7"/>
      <c r="E1284" s="7" t="s">
        <v>3767</v>
      </c>
      <c r="F1284" s="7"/>
      <c r="G1284" s="7"/>
      <c r="H1284" s="7" t="s">
        <v>16</v>
      </c>
      <c r="I1284" s="7"/>
      <c r="J1284" s="7" t="s">
        <v>3768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ht="15.75" customHeight="1">
      <c r="A1285" s="2" t="s">
        <v>10</v>
      </c>
      <c r="B1285" s="1"/>
      <c r="C1285" s="7" t="s">
        <v>1158</v>
      </c>
      <c r="D1285" s="7"/>
      <c r="E1285" s="7" t="s">
        <v>3767</v>
      </c>
      <c r="F1285" s="7"/>
      <c r="G1285" s="7"/>
      <c r="H1285" s="7" t="s">
        <v>3684</v>
      </c>
      <c r="I1285" s="7"/>
      <c r="J1285" s="7" t="s">
        <v>3769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ht="15.75" customHeight="1">
      <c r="A1286" s="2" t="s">
        <v>10</v>
      </c>
      <c r="B1286" s="1"/>
      <c r="C1286" s="7" t="s">
        <v>1158</v>
      </c>
      <c r="D1286" s="7"/>
      <c r="E1286" s="7" t="s">
        <v>3767</v>
      </c>
      <c r="F1286" s="7"/>
      <c r="G1286" s="7"/>
      <c r="H1286" s="7" t="s">
        <v>3686</v>
      </c>
      <c r="I1286" s="7"/>
      <c r="J1286" s="7" t="s">
        <v>3770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ht="15.75" customHeight="1">
      <c r="A1287" s="2" t="s">
        <v>10</v>
      </c>
      <c r="B1287" s="1"/>
      <c r="C1287" s="7" t="s">
        <v>1158</v>
      </c>
      <c r="D1287" s="7"/>
      <c r="E1287" s="7" t="s">
        <v>3767</v>
      </c>
      <c r="F1287" s="7"/>
      <c r="G1287" s="7"/>
      <c r="H1287" s="7" t="s">
        <v>3688</v>
      </c>
      <c r="I1287" s="7"/>
      <c r="J1287" s="7" t="s">
        <v>3771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ht="15.75" customHeight="1">
      <c r="A1288" s="2" t="s">
        <v>10</v>
      </c>
      <c r="B1288" s="1"/>
      <c r="C1288" s="7" t="s">
        <v>1158</v>
      </c>
      <c r="D1288" s="7"/>
      <c r="E1288" s="7" t="s">
        <v>3767</v>
      </c>
      <c r="F1288" s="7"/>
      <c r="G1288" s="7"/>
      <c r="H1288" s="7" t="s">
        <v>3690</v>
      </c>
      <c r="I1288" s="7"/>
      <c r="J1288" s="7" t="s">
        <v>3772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ht="15.75" customHeight="1">
      <c r="A1289" s="2" t="s">
        <v>10</v>
      </c>
      <c r="B1289" s="1"/>
      <c r="C1289" s="7" t="s">
        <v>1158</v>
      </c>
      <c r="D1289" s="7"/>
      <c r="E1289" s="7" t="s">
        <v>3767</v>
      </c>
      <c r="F1289" s="7"/>
      <c r="G1289" s="7"/>
      <c r="H1289" s="7" t="s">
        <v>3692</v>
      </c>
      <c r="I1289" s="7"/>
      <c r="J1289" s="7" t="s">
        <v>3773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ht="15.75" customHeight="1">
      <c r="A1290" s="2" t="s">
        <v>10</v>
      </c>
      <c r="B1290" s="1"/>
      <c r="C1290" s="7" t="s">
        <v>1158</v>
      </c>
      <c r="D1290" s="7"/>
      <c r="E1290" s="7" t="s">
        <v>3767</v>
      </c>
      <c r="F1290" s="7"/>
      <c r="G1290" s="7"/>
      <c r="H1290" s="7" t="s">
        <v>3694</v>
      </c>
      <c r="I1290" s="7"/>
      <c r="J1290" s="7" t="s">
        <v>3774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ht="15.75" customHeight="1">
      <c r="A1291" s="2" t="s">
        <v>10</v>
      </c>
      <c r="B1291" s="1"/>
      <c r="C1291" s="7" t="s">
        <v>1158</v>
      </c>
      <c r="D1291" s="7"/>
      <c r="E1291" s="7" t="s">
        <v>3767</v>
      </c>
      <c r="F1291" s="7"/>
      <c r="G1291" s="7"/>
      <c r="H1291" s="7" t="s">
        <v>787</v>
      </c>
      <c r="I1291" s="7"/>
      <c r="J1291" s="7" t="s">
        <v>3775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ht="15.75" customHeight="1">
      <c r="A1292" s="2" t="s">
        <v>10</v>
      </c>
      <c r="B1292" s="1"/>
      <c r="C1292" s="7" t="s">
        <v>1158</v>
      </c>
      <c r="D1292" s="7"/>
      <c r="E1292" s="7" t="s">
        <v>3767</v>
      </c>
      <c r="F1292" s="7"/>
      <c r="G1292" s="7"/>
      <c r="H1292" s="7" t="s">
        <v>3697</v>
      </c>
      <c r="I1292" s="7"/>
      <c r="J1292" s="7" t="s">
        <v>3776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ht="15.75" customHeight="1">
      <c r="A1293" s="2" t="s">
        <v>10</v>
      </c>
      <c r="B1293" s="1"/>
      <c r="C1293" s="7" t="s">
        <v>1158</v>
      </c>
      <c r="D1293" s="7"/>
      <c r="E1293" s="7" t="s">
        <v>3767</v>
      </c>
      <c r="F1293" s="7"/>
      <c r="G1293" s="7"/>
      <c r="H1293" s="7" t="s">
        <v>3699</v>
      </c>
      <c r="I1293" s="7"/>
      <c r="J1293" s="7" t="s">
        <v>3777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ht="15.75" customHeight="1">
      <c r="A1294" s="2" t="s">
        <v>10</v>
      </c>
      <c r="B1294" s="1"/>
      <c r="C1294" s="7" t="s">
        <v>1158</v>
      </c>
      <c r="D1294" s="7"/>
      <c r="E1294" s="7" t="s">
        <v>3778</v>
      </c>
      <c r="F1294" s="7"/>
      <c r="G1294" s="7"/>
      <c r="H1294" s="7" t="s">
        <v>16</v>
      </c>
      <c r="I1294" s="7"/>
      <c r="J1294" s="7" t="s">
        <v>3779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ht="15.75" customHeight="1">
      <c r="A1295" s="2" t="s">
        <v>10</v>
      </c>
      <c r="B1295" s="1"/>
      <c r="C1295" s="7" t="s">
        <v>1158</v>
      </c>
      <c r="D1295" s="7"/>
      <c r="E1295" s="7" t="s">
        <v>3778</v>
      </c>
      <c r="F1295" s="7"/>
      <c r="G1295" s="7"/>
      <c r="H1295" s="7" t="s">
        <v>3684</v>
      </c>
      <c r="I1295" s="7"/>
      <c r="J1295" s="7" t="s">
        <v>3780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ht="15.75" customHeight="1">
      <c r="A1296" s="2" t="s">
        <v>10</v>
      </c>
      <c r="B1296" s="1"/>
      <c r="C1296" s="7" t="s">
        <v>1158</v>
      </c>
      <c r="D1296" s="7"/>
      <c r="E1296" s="7" t="s">
        <v>3778</v>
      </c>
      <c r="F1296" s="7"/>
      <c r="G1296" s="7"/>
      <c r="H1296" s="7" t="s">
        <v>3686</v>
      </c>
      <c r="I1296" s="7"/>
      <c r="J1296" s="7" t="s">
        <v>3781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ht="15.75" customHeight="1">
      <c r="A1297" s="2" t="s">
        <v>10</v>
      </c>
      <c r="B1297" s="1"/>
      <c r="C1297" s="7" t="s">
        <v>1158</v>
      </c>
      <c r="D1297" s="7"/>
      <c r="E1297" s="7" t="s">
        <v>3778</v>
      </c>
      <c r="F1297" s="7"/>
      <c r="G1297" s="7"/>
      <c r="H1297" s="7" t="s">
        <v>3688</v>
      </c>
      <c r="I1297" s="7"/>
      <c r="J1297" s="7" t="s">
        <v>3782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ht="15.75" customHeight="1">
      <c r="A1298" s="2" t="s">
        <v>10</v>
      </c>
      <c r="B1298" s="1"/>
      <c r="C1298" s="7" t="s">
        <v>1158</v>
      </c>
      <c r="D1298" s="7"/>
      <c r="E1298" s="7" t="s">
        <v>3778</v>
      </c>
      <c r="F1298" s="7"/>
      <c r="G1298" s="7"/>
      <c r="H1298" s="7" t="s">
        <v>3690</v>
      </c>
      <c r="I1298" s="7"/>
      <c r="J1298" s="7" t="s">
        <v>3783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ht="15.75" customHeight="1">
      <c r="A1299" s="2" t="s">
        <v>10</v>
      </c>
      <c r="B1299" s="1"/>
      <c r="C1299" s="7" t="s">
        <v>1158</v>
      </c>
      <c r="D1299" s="7"/>
      <c r="E1299" s="7" t="s">
        <v>3778</v>
      </c>
      <c r="F1299" s="7"/>
      <c r="G1299" s="7"/>
      <c r="H1299" s="7" t="s">
        <v>3692</v>
      </c>
      <c r="I1299" s="7"/>
      <c r="J1299" s="7" t="s">
        <v>3784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ht="15.75" customHeight="1">
      <c r="A1300" s="2" t="s">
        <v>10</v>
      </c>
      <c r="B1300" s="1"/>
      <c r="C1300" s="7" t="s">
        <v>1158</v>
      </c>
      <c r="D1300" s="7"/>
      <c r="E1300" s="7" t="s">
        <v>3778</v>
      </c>
      <c r="F1300" s="7"/>
      <c r="G1300" s="7"/>
      <c r="H1300" s="7" t="s">
        <v>3694</v>
      </c>
      <c r="I1300" s="7"/>
      <c r="J1300" s="7" t="s">
        <v>3785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ht="15.75" customHeight="1">
      <c r="A1301" s="2" t="s">
        <v>10</v>
      </c>
      <c r="B1301" s="1"/>
      <c r="C1301" s="7" t="s">
        <v>1158</v>
      </c>
      <c r="D1301" s="7"/>
      <c r="E1301" s="7" t="s">
        <v>3778</v>
      </c>
      <c r="F1301" s="7"/>
      <c r="G1301" s="7"/>
      <c r="H1301" s="7" t="s">
        <v>787</v>
      </c>
      <c r="I1301" s="7"/>
      <c r="J1301" s="7" t="s">
        <v>3786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ht="15.75" customHeight="1">
      <c r="A1302" s="2" t="s">
        <v>10</v>
      </c>
      <c r="B1302" s="1"/>
      <c r="C1302" s="7" t="s">
        <v>1158</v>
      </c>
      <c r="D1302" s="7"/>
      <c r="E1302" s="7" t="s">
        <v>3778</v>
      </c>
      <c r="F1302" s="7"/>
      <c r="G1302" s="7"/>
      <c r="H1302" s="7" t="s">
        <v>3697</v>
      </c>
      <c r="I1302" s="7"/>
      <c r="J1302" s="7" t="s">
        <v>3787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ht="15.75" customHeight="1">
      <c r="A1303" s="2" t="s">
        <v>10</v>
      </c>
      <c r="B1303" s="1"/>
      <c r="C1303" s="7" t="s">
        <v>1158</v>
      </c>
      <c r="D1303" s="7"/>
      <c r="E1303" s="7" t="s">
        <v>3778</v>
      </c>
      <c r="F1303" s="7"/>
      <c r="G1303" s="7"/>
      <c r="H1303" s="7" t="s">
        <v>3699</v>
      </c>
      <c r="I1303" s="7"/>
      <c r="J1303" s="7" t="s">
        <v>3788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214"/>
    <hyperlink r:id="rId1046" ref="A1215"/>
    <hyperlink r:id="rId1047" ref="A1216"/>
    <hyperlink r:id="rId1048" ref="A1217"/>
    <hyperlink r:id="rId1049" ref="A1218"/>
    <hyperlink r:id="rId1050" ref="A1219"/>
    <hyperlink r:id="rId1051" ref="A1220"/>
    <hyperlink r:id="rId1052" ref="A1221"/>
    <hyperlink r:id="rId1053" ref="A1222"/>
    <hyperlink r:id="rId1054" ref="A1223"/>
    <hyperlink r:id="rId1055" ref="A1224"/>
    <hyperlink r:id="rId1056" ref="A1225"/>
    <hyperlink r:id="rId1057" ref="A1226"/>
    <hyperlink r:id="rId1058" ref="A1227"/>
    <hyperlink r:id="rId1059" ref="A1228"/>
    <hyperlink r:id="rId1060" ref="A1229"/>
    <hyperlink r:id="rId1061" ref="A1230"/>
    <hyperlink r:id="rId1062" ref="A1231"/>
    <hyperlink r:id="rId1063" ref="A1232"/>
    <hyperlink r:id="rId1064" ref="A1233"/>
    <hyperlink r:id="rId1065" ref="A1234"/>
    <hyperlink r:id="rId1066" ref="A1235"/>
    <hyperlink r:id="rId1067" ref="A1236"/>
    <hyperlink r:id="rId1068" ref="A1237"/>
    <hyperlink r:id="rId1069" ref="A1238"/>
    <hyperlink r:id="rId1070" ref="A1239"/>
    <hyperlink r:id="rId1071" ref="A1240"/>
    <hyperlink r:id="rId1072" ref="A1241"/>
    <hyperlink r:id="rId1073" ref="A1242"/>
    <hyperlink r:id="rId1074" ref="A1243"/>
    <hyperlink r:id="rId1075" ref="A1244"/>
    <hyperlink r:id="rId1076" ref="A1245"/>
    <hyperlink r:id="rId1077" ref="A1246"/>
    <hyperlink r:id="rId1078" ref="A1247"/>
    <hyperlink r:id="rId1079" ref="A1248"/>
    <hyperlink r:id="rId1080" ref="A1249"/>
    <hyperlink r:id="rId1081" ref="A1250"/>
    <hyperlink r:id="rId1082" ref="A1251"/>
    <hyperlink r:id="rId1083" ref="A1252"/>
    <hyperlink r:id="rId1084" ref="A1253"/>
    <hyperlink r:id="rId1085" ref="A1254"/>
    <hyperlink r:id="rId1086" ref="A1255"/>
    <hyperlink r:id="rId1087" ref="A1256"/>
    <hyperlink r:id="rId1088" ref="A1257"/>
    <hyperlink r:id="rId1089" ref="A1258"/>
    <hyperlink r:id="rId1090" ref="A1259"/>
    <hyperlink r:id="rId1091" ref="A1260"/>
    <hyperlink r:id="rId1092" ref="A1261"/>
    <hyperlink r:id="rId1093" ref="A1262"/>
    <hyperlink r:id="rId1094" ref="A1263"/>
    <hyperlink r:id="rId1095" ref="A1264"/>
    <hyperlink r:id="rId1096" ref="A1265"/>
    <hyperlink r:id="rId1097" ref="A1266"/>
    <hyperlink r:id="rId1098" ref="A1267"/>
    <hyperlink r:id="rId1099" ref="A1268"/>
    <hyperlink r:id="rId1100" ref="A1269"/>
    <hyperlink r:id="rId1101" ref="A1270"/>
    <hyperlink r:id="rId1102" ref="A1271"/>
    <hyperlink r:id="rId1103" ref="A1272"/>
    <hyperlink r:id="rId1104" ref="A1273"/>
    <hyperlink r:id="rId1105" ref="A1274"/>
    <hyperlink r:id="rId1106" ref="A1275"/>
    <hyperlink r:id="rId1107" ref="A1276"/>
    <hyperlink r:id="rId1108" ref="A1277"/>
    <hyperlink r:id="rId1109" ref="A1278"/>
    <hyperlink r:id="rId1110" ref="A1279"/>
    <hyperlink r:id="rId1111" ref="A1280"/>
    <hyperlink r:id="rId1112" ref="A1281"/>
    <hyperlink r:id="rId1113" ref="A1282"/>
    <hyperlink r:id="rId1114" ref="A1283"/>
    <hyperlink r:id="rId1115" ref="A1284"/>
    <hyperlink r:id="rId1116" ref="A1285"/>
    <hyperlink r:id="rId1117" ref="A1286"/>
    <hyperlink r:id="rId1118" ref="A1287"/>
    <hyperlink r:id="rId1119" ref="A1288"/>
    <hyperlink r:id="rId1120" ref="A1289"/>
    <hyperlink r:id="rId1121" ref="A1290"/>
    <hyperlink r:id="rId1122" ref="A1291"/>
    <hyperlink r:id="rId1123" ref="A1292"/>
    <hyperlink r:id="rId1124" ref="A1293"/>
    <hyperlink r:id="rId1125" ref="A1294"/>
    <hyperlink r:id="rId1126" ref="A1295"/>
    <hyperlink r:id="rId1127" ref="A1296"/>
    <hyperlink r:id="rId1128" ref="A1297"/>
    <hyperlink r:id="rId1129" ref="A1298"/>
    <hyperlink r:id="rId1130" ref="A1299"/>
    <hyperlink r:id="rId1131" ref="A1300"/>
    <hyperlink r:id="rId1132" ref="A1301"/>
    <hyperlink r:id="rId1133" ref="A1302"/>
    <hyperlink r:id="rId1134" ref="A1303"/>
  </hyperlinks>
  <drawing r:id="rId1135"/>
</worksheet>
</file>